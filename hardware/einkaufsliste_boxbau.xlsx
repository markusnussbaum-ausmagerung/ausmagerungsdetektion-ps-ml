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<sst xmlns="http://schemas.openxmlformats.org/spreadsheetml/2006/main" count="410" uniqueCount="199">
  <si>
    <t>Einkaufsliste Boxbau: Masterarbeit Bauingenieurwesen, Campus Wien, 2026. Ziel: mobile Fotobox für Photometric Stereo Aufnahmen auf Gemeindestraßen.</t>
  </si>
  <si>
    <t>Artikel</t>
  </si>
  <si>
    <t>Spezifikation</t>
  </si>
  <si>
    <t>Einzelpreis</t>
  </si>
  <si>
    <t>Menge</t>
  </si>
  <si>
    <t>Positionspreis</t>
  </si>
  <si>
    <t>Status</t>
  </si>
  <si>
    <t>Hinweise</t>
  </si>
  <si>
    <t>Aluminiumprofil 40x40 Nut 10 B-Typ</t>
  </si>
  <si>
    <t>Länge:900 mm
Bearbeitung:nein
Zuschnitt:Profile gesägt, spänefrei
Zuschnitt Toleranz:Profile gesägt nach DIN ISO 2768 Teil 1 m
Lieferzeit: 2 Wochen eintreffend</t>
  </si>
  <si>
    <t>Geliefert</t>
  </si>
  <si>
    <t>myaluprofil.de, bestellt am Donnerstag, 02. April 2026</t>
  </si>
  <si>
    <t>Länge:640 mm
Bearbeitung:M12/M12 (beidseitig Gewinde M12)
Zuschnitt:Profile gesägt, spänefrei
Zuschnitt Toleranz:Profile gesägt nach DIN ISO 2768 Teil 1 m
Lieferzeit: 2 Wochen eintreffend</t>
  </si>
  <si>
    <t>Länge:600 mm
Bearbeitung:nein
Zuschnitt:Profile gesägt, spänefrei
Zuschnitt Toleranz:Profile gesägt nach DIN ISO 2768 Teil 1 m
Lieferzeit: 2 Wochen eintreffend</t>
  </si>
  <si>
    <t>Länge:900 mm
Bearbeitung:M12/M12 (beidseitig Gewinde M12)
Zuschnitt:Profile gesägt, spänefrei
Zuschnitt Toleranz:Profile gesägt nach DIN ISO 2768 Teil 1 m
Lieferzeit: 2 Wochen eintreffend</t>
  </si>
  <si>
    <t>Länge:430 mm
Bearbeitung:nein
Zuschnitt:Profile gesägt, spänefrei
Zuschnitt Toleranz:Profile gesägt nach DIN ISO 2768 Teil 1 m
Lieferzeit: 2 Wochen eintreffend</t>
  </si>
  <si>
    <t>Würfelverbindersatz 40x40 3D Nut 10 B-Typ</t>
  </si>
  <si>
    <t>Lieferzeit: 2 Wochen eintreffend</t>
  </si>
  <si>
    <t>Winkelsatz 40x40 ZN Nut 10 B-Typ</t>
  </si>
  <si>
    <t>Stellfuß D80 M12x130 mit Anschraubbohrungen Nut 10 B-Typ</t>
  </si>
  <si>
    <t>Hammermutter Nut 10 M8 B-Typ</t>
  </si>
  <si>
    <t>Hammerkopfschraube M8x20 Nut 10 B-Typ</t>
  </si>
  <si>
    <t>Bundmutter M8 Nut 10 B-Typ</t>
  </si>
  <si>
    <t>Gelenk 40x40 Nut 10 B-Typ</t>
  </si>
  <si>
    <t>Halbrundschraube ISO 7380 M8x16 verzinkt</t>
  </si>
  <si>
    <t>Handgriff PA 145 Nut 10 B-Typ</t>
  </si>
  <si>
    <t>Handgriff PA 120 Satz Nut 10 B-Typ</t>
  </si>
  <si>
    <t>Länge:200 mm
Bearbeitung:nein
Zuschnitt:Profile gesägt, spänefrei
Zuschnitt Toleranz:Profile gesägt nach DIN ISO 2768 Teil 1 m
Lieferzeit: 2 Wochen eintreffend</t>
  </si>
  <si>
    <t>4 Stk.</t>
  </si>
  <si>
    <t>Verbinderlasche</t>
  </si>
  <si>
    <t>Nutabdeckungen / Slot Covers</t>
  </si>
  <si>
    <t>um Kabel in den Nuten zu verdecken</t>
  </si>
  <si>
    <t>Matt-schwarzer Lack für Hülle</t>
  </si>
  <si>
    <t>für PVC/Kunststoff</t>
  </si>
  <si>
    <t>Baumarkt</t>
  </si>
  <si>
    <t>schwarzer Metallsprühlack, matt</t>
  </si>
  <si>
    <t>Warenwert (netto):</t>
  </si>
  <si>
    <t>Mit Steuer:</t>
  </si>
  <si>
    <t>Verkleidung Fotobox, PVC Hartschaumplatte 3 mm Weiß</t>
  </si>
  <si>
    <t>4x 80cm x 52cm, 1x 80cm x 80cm</t>
  </si>
  <si>
    <t>5 m²</t>
  </si>
  <si>
    <t>Gedotec Tür Zugluftstopper als Kälte- und Insektenschutz | 1 Stück - Bürstendichtung</t>
  </si>
  <si>
    <t>Länge: 1 m | Dichtung mit dichten Besatz Aluminium schwarz | zum Abdichten von Türen | Dichtung Tür schraubbar</t>
  </si>
  <si>
    <t>Amazon.de</t>
  </si>
  <si>
    <t xml:space="preserve">Noch Dichtungsband kaufen. </t>
  </si>
  <si>
    <t>Lumonic 10m EPDM Dichtungsband Selbstklebend 20mm x 5mm</t>
  </si>
  <si>
    <t>Moosgummi Dichtband für Fenster &amp; Türen | Fensterdichtung, Türdichtung, Gummidichtung zum Kälteschutz</t>
  </si>
  <si>
    <t>10 m</t>
  </si>
  <si>
    <t>Lumonic 10m EPDM Dichtungsband Selbstklebend 20mm x 5mm | Moosgummi Dichtband für Fenster &amp; Türen | Fensterdichtung, Türdichtung, Gummidichtung zum Kälteschutz</t>
  </si>
  <si>
    <t>Kabeldurchführung Gummi</t>
  </si>
  <si>
    <t>Kabeldurchführung Wasserdicht,Gummitülle,Wasserdicht Kabeltülle,Gummitülle Kabeldurchführung,9 Größen,Gummistopfen,Für Kabel Zum Draht Und Kabelschutz(3-14mm)</t>
  </si>
  <si>
    <t>90 Stk.</t>
  </si>
  <si>
    <t>Dosenlibelle</t>
  </si>
  <si>
    <t>Runde Wasserwaage Messgerät, 4 Stück Dosenlibelle 32 mm Durchmesser, Mini, Libelle, Wohnmobil, Wohnwagen, Pirit Level, Weiß, Gelb</t>
  </si>
  <si>
    <t>1</t>
  </si>
  <si>
    <t>https://www.amazon.de/dp/B0DH15TCTM</t>
  </si>
  <si>
    <t>4 Stück Z-Form Bilderrahmen Klammer</t>
  </si>
  <si>
    <t>Winkel für Handyhalterung</t>
  </si>
  <si>
    <t>Doppelseitiges Klebeband</t>
  </si>
  <si>
    <t>https://www.amazon.de/dp/B0GG3VBBQP</t>
  </si>
  <si>
    <t>Vrabocry High Power LED Licht</t>
  </si>
  <si>
    <r>
      <rPr>
        <rFont val="Arial"/>
        <color rgb="FF434343"/>
      </rPr>
      <t>10 STÜCKE Weiß 4000-4500k Chip LED Hohe Helle Integrierte Chip Lichtquelle Led-Lampe Mit 20mm Schwarz Stern PCB für Birne Lampe DIY BeleuchtungHigh Power LED Licht</t>
    </r>
  </si>
  <si>
    <t>2</t>
  </si>
  <si>
    <r>
      <rPr>
        <color rgb="FF1155CC"/>
        <u/>
      </rPr>
      <t>Vrabocry High Power LED Licht</t>
    </r>
  </si>
  <si>
    <t>MW Mean Well NLDD-700HW DC/DC-Wandler 1</t>
  </si>
  <si>
    <t>700mA WIRE STYLE mit Kabeln</t>
  </si>
  <si>
    <t>13 Stk.</t>
  </si>
  <si>
    <t>Conrad.at</t>
  </si>
  <si>
    <t>MEAN WELL LDD-700LW DC/DC-Wandler</t>
  </si>
  <si>
    <t>12 Stk.</t>
  </si>
  <si>
    <t>https://www.conrad.at/de/p/mean-well-ldd-700lw-dc-dc-wandler-print-36-4-w-anzahl-ausgaenge-1-x-inhalt-1-st-1292808.html?searchType=SearchRedirect#productDownloads</t>
  </si>
  <si>
    <t>Yizhet 5V 8-Kanal-Relais Modul (2 Stück)</t>
  </si>
  <si>
    <t>Relaismodul mit Optokoppler für Raspberry Pi, Arduino, TTL Logik und andere Mikrocontroller</t>
  </si>
  <si>
    <t>2 Stk</t>
  </si>
  <si>
    <t>https://www.amazon.de/dp/B0BRK9RHXN</t>
  </si>
  <si>
    <t>CTRICALVER Wärmeklebeband</t>
  </si>
  <si>
    <t>1 Stück 25 m doppelseitiges Wärmeklebeband für LED-Beleuchtung Ic und LED-Fernseher mit ausgezeichneter Isolierung und hoher Wärmeleitfähigkeit</t>
  </si>
  <si>
    <t>25 m</t>
  </si>
  <si>
    <r>
      <rPr>
        <color rgb="FF1155CC"/>
        <u/>
      </rPr>
      <t>CTRICALVER Wärmeklebeband, 1 Stück 25 m doppelseitiges Wärmeklebeband für LED-Beleuchtung Ic und LED-Fernseher mit ausgezeichneter Isolierung und hoher Wärmeleitfähigkeit</t>
    </r>
  </si>
  <si>
    <t>HELPMATE – 48 Stück Stuhlwinkel 20x20x14 mm</t>
  </si>
  <si>
    <t>Winkelverbinder galvanisch verzinkt &amp; blau passiviert – Möbelwinkel mit Korrosionsschutz, stabil &amp; langlebig – einfache Montage</t>
  </si>
  <si>
    <t>48 Stk.</t>
  </si>
  <si>
    <r>
      <rPr>
        <color rgb="FF1155CC"/>
        <u/>
      </rPr>
      <t>HELPMATE – 48 Stück Stuhlwinkel 20x20x14 mm – Winkelverbinder galvanisch verzinkt &amp; blau passiviert – Möbelwinkel mit Korrosionsschutz, stabil &amp; langlebig – einfache Montage</t>
    </r>
  </si>
  <si>
    <r>
      <rPr>
        <rFont val="Arial"/>
        <color rgb="FF434343"/>
      </rPr>
      <t>ARCTIC MX-4 (4 g) - Premium Performance Wärmeleitpaste</t>
    </r>
  </si>
  <si>
    <t>2 Stk.</t>
  </si>
  <si>
    <t>Edelstahlkugel</t>
  </si>
  <si>
    <t>10 mm, 30 Stück, Kalibrierung der Lichtvektoren</t>
  </si>
  <si>
    <t>1 Stk</t>
  </si>
  <si>
    <t>https://www.amazon.de/dp/B0DYP4L1XD</t>
  </si>
  <si>
    <r>
      <rPr>
        <rFont val="Arial"/>
        <color rgb="FF434343"/>
      </rPr>
      <t>Talentcell 12V LiFePO4 Akkupack</t>
    </r>
  </si>
  <si>
    <t>3000+ Zyklen Wiederaufladbare 12.8V 6Ah 76.8Wh Lithium Eisen Phosphat Batterie mit DC 12V Ausgang für LED Streifen, CCTV Kamera, Router, DIY und mehr</t>
  </si>
  <si>
    <t>1 Stk.</t>
  </si>
  <si>
    <r>
      <rPr>
        <color rgb="FF1155CC"/>
        <u/>
      </rPr>
      <t>Talentcell 12V LiFePO4 Akkupack, 3000+ Zyklen Wiederaufladbare 12.8V 6Ah 76.8Wh Lithium Eisen Phosphat Batterie mit DC 12V Ausgang für LED Streifen, CCTV Kamera, Router, DIY und mehr</t>
    </r>
  </si>
  <si>
    <t>Stromverteiler 2x 24-polig, W2x24, mit Steckklemmen und Kontrollleuchten</t>
  </si>
  <si>
    <t>Pollin Art. 452464</t>
  </si>
  <si>
    <t>bestellt bei Pollin Electronic GmbH</t>
  </si>
  <si>
    <t>Raspberry Pi 4 B, 4x 1,8 GHz, 2 GB RAM, WLAN, BT</t>
  </si>
  <si>
    <t>DAS GEHIRN DER STEUERUNG</t>
  </si>
  <si>
    <t>https://www.reichelt.at/at/de/shop/produkt/raspberry_pi_4_b_4x_1_8_ghz_2_gb_ram_wlan_bt-259919?nbc=1</t>
  </si>
  <si>
    <t>GeeekPi Raspberry Pi GPIO Screw Terminal Block Breakout Board HAT with GPIO Status LED, Raspberry Pi GPIO Expansion Board Breakout Module for Raspberry Pi 4B/3B+/3B/2B/B+/Pi Zero W/Pi Zero 2 W</t>
  </si>
  <si>
    <t>Dachplatte für RPi GPIO Pins zu Schraubklemmen</t>
  </si>
  <si>
    <r>
      <rPr>
        <color rgb="FF1155CC"/>
        <u/>
      </rPr>
      <t>GeeekPi Raspberry Pi GPIO Screw Terminal Block Breakout Board HAT with GPIO Status LED, Raspberry Pi GPIO Expansion Board Breakout Module for Raspberry Pi 4B/3B+/3B/2B/B+/Pi Zero W/Pi Zero 2 W</t>
    </r>
  </si>
  <si>
    <t>SANDISK MicroSD-Card High Endurance 128GB inkl. Adapter</t>
  </si>
  <si>
    <t>SanDisk Extreme PRO microSDHC UHS-I Speicherkarte 32 GB</t>
  </si>
  <si>
    <t>Adapter &amp; RescuePRO Deluxe (Für Smartphones, Actionkameras oder Drohnen, A1, Class 10, V30, U3, 100 MB/s Übertragung)</t>
  </si>
  <si>
    <r>
      <rPr>
        <color rgb="FF1155CC"/>
        <u/>
      </rPr>
      <t>SanDisk Extreme PRO microSDHC UHS-I Speicherkarte 32 GB + Adapter &amp; RescuePRO Deluxe (Für Smartphones, Actionkameras oder Drohnen, A1, Class 10, V30, U3, 100 MB/s Übertragung)</t>
    </r>
  </si>
  <si>
    <t>Jumper Wire Kabel</t>
  </si>
  <si>
    <t>3 x 40 STK. je 20 cm M2M/ F2M / F2F</t>
  </si>
  <si>
    <t>https://www.amazon.de/dp/B074P726ZR</t>
  </si>
  <si>
    <t>Dupont Jumper Kabel Set</t>
  </si>
  <si>
    <t>40 Stk. Buchse-Buchse</t>
  </si>
  <si>
    <t>https://www.reichelt.at/at/de/shop/produkt/entwicklerboards_-_steckbrueckenkabel_40_pole_f_f_40_cm-340345#</t>
  </si>
  <si>
    <t>WAGO 221-412 Verbindungsklemme</t>
  </si>
  <si>
    <t>2-Leiter für CTRL Verbindung</t>
  </si>
  <si>
    <t>25 Stk.</t>
  </si>
  <si>
    <t>reichelt.at</t>
  </si>
  <si>
    <t>WAGO 221-412 Durchgangsverbinder</t>
  </si>
  <si>
    <t>Verlängerung, Durchgangsverbinder max. 4 mm², 2 Leiter</t>
  </si>
  <si>
    <t>15</t>
  </si>
  <si>
    <t>WAGO Befestigungsadapter</t>
  </si>
  <si>
    <t>Montage der Klemmen auf dem motherboard, Befestigungsadapter mit Zugentlastung, 4-fach</t>
  </si>
  <si>
    <t>3 Stk.</t>
  </si>
  <si>
    <t>Powerbank 5V USB-C 10000mAh</t>
  </si>
  <si>
    <t>daheim, für Raspberry Pi</t>
  </si>
  <si>
    <t>RAVIAD USB Typ C Kabel, USB-A auf USB-C 1m</t>
  </si>
  <si>
    <t>ADB Handy-Steuerung 3m</t>
  </si>
  <si>
    <t>1 Stk. 3 m</t>
  </si>
  <si>
    <r>
      <rPr>
        <rFont val="Arial"/>
        <color rgb="FF434343"/>
      </rPr>
      <t>AXFEE 8 Stück 5,5 mm 2,1 mm DC-Stecker, dc Stecker/Buchse Steckverbinder</t>
    </r>
  </si>
  <si>
    <t>Hohlsteckeradapter, female/male</t>
  </si>
  <si>
    <t>Raspberry Pi - Abstandshalter-Sortiment, M2,5</t>
  </si>
  <si>
    <t>Befestigung und Abstandhalter für Motherboard</t>
  </si>
  <si>
    <t>https://www.reichelt.at/at/de/shop/produkt/raspberry_pi_-_abstandshalter-sortiment_m2_5-223625?nbc=1</t>
  </si>
  <si>
    <t>503 Stk M2.5 Messing Männlich Weiblich Hex Schrauben Nuss Sortiment Kit, PCB Board/Platinen Sechskant Gewindemutter Abstandsbolzen Abstandshalter Spacers Standoffs</t>
  </si>
  <si>
    <t>Zwischenstücke für die Abstandhalter</t>
  </si>
  <si>
    <t>Kabelbinder-Set, verschiedene Größen, mehrfarbig, 600er-Pack</t>
  </si>
  <si>
    <t>https://www.reichelt.at/at/de/shop/produkt/kabelbinder-set_verschiedene_groessen_mehrfarbig_600er-pack-121916?nbc=1</t>
  </si>
  <si>
    <t>Lötverbinder-Set, 100-teilig in Sortimentsbox</t>
  </si>
  <si>
    <t>https://www.berrybase.at/loetverbinder-set-100-teilig-in-sortimentsbox</t>
  </si>
  <si>
    <t>Lötverbinder &amp; Schrumpfschlauch-Set, 300-teilig in Sortimentsbox</t>
  </si>
  <si>
    <t>https://www.berrybase.at/loetverbinder-schrumpfschlauch-set-300-teilig-in-sortimentsbox</t>
  </si>
  <si>
    <t>CERRXIAN DC5521 Power Pigtails Kabel,1.6 FT 14AWG 5.5mm x 2.1 mm DC Female Bare Wire Open End Power Wire, DC Supply Repair Kabel für CCTV Sicherheitskamera LED Strip Light Etc-2 Pcs(1.6FT 5521 Female)</t>
  </si>
  <si>
    <t>https://www.amazon.de/dp/B0BKB5YT5N</t>
  </si>
  <si>
    <t>RUNCCI-YUN 10Pack 18AWG DC 12V 5A 5.5 x 2.5mm Male DC Stromkabel Pigtails</t>
  </si>
  <si>
    <t>DC Power Jack Plug Adapter hohlstecker 5,5 2,5Niedervolt Steckverbinder für CCTV Sicherheit Kamera</t>
  </si>
  <si>
    <t>Sicherung T5A Akku-Klemmleiste</t>
  </si>
  <si>
    <t>BOJACK T5A250V 6x30 mm 5 A 250 V Langsam schmelzen Sicherungen 5 Ampere 250 Volt 0,24 x 1,18 Zoll Glasrohr Zeitverzögerungs Sicherungen (Packung mit 20 Stück)</t>
  </si>
  <si>
    <t>https://www.amazon.de/dp/B086SDBZZZ</t>
  </si>
  <si>
    <t>Sicherungshalter T5A Akku-Klemmleiste</t>
  </si>
  <si>
    <t>12Pcs Professionell 6 X 30mm AGC Sicherungshalter, 32V 20A Inline-Schraube Typ Sicherungskasten mit 16 AWG Draht, für Schnell Schlag Glasrohrsicherungen (Schwarz)</t>
  </si>
  <si>
    <t>https://www.amazon.de/dp/B07P61DM86</t>
  </si>
  <si>
    <t>Klebesockel 38x38mm MB5APT-A schwarz</t>
  </si>
  <si>
    <t>https://www.reichelt.at/at/de/shop/produkt/klebesockel_38x38mm_mb5apt-a_schwarz-341113?nbc=1</t>
  </si>
  <si>
    <t>Motherboard-Platte</t>
  </si>
  <si>
    <t>Alu Verbundplatte matt 3 mm Weiß RAL 9003, 50x50cm</t>
  </si>
  <si>
    <t>kunststoff.at</t>
  </si>
  <si>
    <t>M8 Schrauben mit MUTTER und Unterlagsscheiben</t>
  </si>
  <si>
    <t>M8 Rändelschrauben</t>
  </si>
  <si>
    <t>Öffenbarer Teil der Aßernverkleidung</t>
  </si>
  <si>
    <t>Schaltlitze H05V-K, 1,0 mm², 10 m, braun</t>
  </si>
  <si>
    <t>Schaltlitze H05V-K, 1,0 mm², 10 m, grün / gelb</t>
  </si>
  <si>
    <t>Schaltlitze H05V-K, 0,75 mm², 10 m, braun</t>
  </si>
  <si>
    <t>Schaltlitze H05V-K, 0,75 mm², 10 m, grün / gelb</t>
  </si>
  <si>
    <t>Schaltlitze H05V-K, 1,0 mm², 10 m, blau</t>
  </si>
  <si>
    <t>Schaltlitze, 0,5 mm², rot, 25m Spule</t>
  </si>
  <si>
    <t>Schaltlitze, 0,5 mm², schwarz, 25m Spule</t>
  </si>
  <si>
    <t>1  Stk.</t>
  </si>
  <si>
    <t>Dritte Hand Löten</t>
  </si>
  <si>
    <t>Lytool Löthilfe mit 4 Flexiblen Armen, 3X Lupe- Helfende Hände Leiterplattenhalter Handwerk Werkstatt Helfen Station für Modellbau, Schmuck und Bastelarbeiten</t>
  </si>
  <si>
    <t xml:space="preserve">1 Stk. </t>
  </si>
  <si>
    <r>
      <rPr>
        <color rgb="FF1155CC"/>
        <u/>
      </rPr>
      <t>Dritte Hand Löten, Lytool Löthilfe mit 4 Flexiblen Armen, 3X Lupe- Helfende Hände Leiterplattenhalter Handwerk Werkstatt Helfen Station für Modellbau, Schmuck und Bastelarbeiten</t>
    </r>
  </si>
  <si>
    <t>Alu-Sägeblatt</t>
  </si>
  <si>
    <t>216×30 Z60, Multi Cut Classic</t>
  </si>
  <si>
    <t>Zug-, Kapp- und Gehrungssäge Metabo KGS 216 M Set 1200 W 230 V</t>
  </si>
  <si>
    <t>https://www.hornbach.at/p/zug-kapp-und-gehrungssaege-metabo-kgs-216-m-set-1200-w-230-v/10721005/</t>
  </si>
  <si>
    <t xml:space="preserve">Schnellspannbohrfutter SDS-Plus Adapter </t>
  </si>
  <si>
    <t>HSS-Bohrer 2,7mm</t>
  </si>
  <si>
    <t>HSS-Bohrer 8,5mm</t>
  </si>
  <si>
    <t>XUNTOP Digitaler Winkelmesser Neigungsmesser Laser Wasserwaage mit LCD Display</t>
  </si>
  <si>
    <t>Type-C Schnittstelle IP54 Wasserdicht Magnetisch Nivellierbox Level Box für Holzarbeiten, Bau, Dekoration, DIY</t>
  </si>
  <si>
    <r>
      <rPr>
        <color rgb="FF1155CC"/>
        <u/>
      </rPr>
      <t>XUNTOP Digitaler Winkelmesser Neigungsmesser Laser Wasserwaage mit LCD Display, Type-C Schnittstelle IP54 Wasserdicht Magnetisch Nivellierbox Level Box für Holzarbeiten, Bau, Dekoration, DIY</t>
    </r>
  </si>
  <si>
    <t>SCHMITZ.Tools Crimpzange mit 1.800 Aderendhülsen Set</t>
  </si>
  <si>
    <t>inkl. Aderhülsen</t>
  </si>
  <si>
    <r>
      <rPr>
        <color rgb="FF1155CC"/>
        <u/>
      </rPr>
      <t>SCHMITZ.Tools Crimpzange mit 1.800 Aderendhülsen Set - Für saubere Crimps wie vom Fachmann - Selbsteinstellend [0,25–10mm²] - Zuverlässig &amp; Präzise - Geprüfte Zange, die du wirklich brauchst</t>
    </r>
  </si>
  <si>
    <t>Lötkolben Set 80W</t>
  </si>
  <si>
    <t>Einstellbar Temperatur 180-520°C Lötkolben mit Ein/Aus Schalter, 50g Lötdraht, 5 Lötspitzen, Entlötpumpe, Lötkolbenständer, Pinzette, Lötset für Elektrische Arbeiten</t>
  </si>
  <si>
    <r>
      <rPr>
        <color rgb="FF1155CC"/>
        <u/>
      </rPr>
      <t>Lötkolben Set 80W LCD Einstellbar Temperatur 180-520°C Lötkolben mit Ein/Aus Schalter, 50g Lötdraht, 5 Lötspitzen, Entlötpumpe, Lötkolbenständer, Pinzette, Lötset für Elektrische Arbeiten</t>
    </r>
  </si>
  <si>
    <t>Digital Multimeter</t>
  </si>
  <si>
    <t>automatischer Bereichswahl, Multifunktionstester, der AC/DC Voltage, AC/DC Current, Widerstand, Durchgang, Kapazität, Frequenz und Diodentests, Datenhaltung und NCV misst.</t>
  </si>
  <si>
    <r>
      <rPr>
        <color rgb="FF1155CC"/>
        <u/>
      </rPr>
      <t>Digital Multimeter mit automatischer Bereichswahl, Multifunktionstester, der AC/DC Voltage, AC/DC Current, Widerstand, Durchgang, Kapazität, Frequenz und Diodentests, Datenhaltung und NCV misst.</t>
    </r>
  </si>
  <si>
    <t>APTTOOL Abisolierzange</t>
  </si>
  <si>
    <r>
      <rPr>
        <color rgb="FF1155CC"/>
        <u/>
      </rPr>
      <t>APTTOOL Abisolierzange Automatisch, Klein Abisolier Zange, Abisolierwerkzeug mit Selbsteinstellenden Backen, Hochwertige Materialien, Leicht und Tragbar</t>
    </r>
  </si>
  <si>
    <t>TOWOT Lötzinn</t>
  </si>
  <si>
    <t>Bleifreier Lötdraht mit Kolophoniumkern, Lötzinn Elektronik, Silberdraht Löten (Sn99,3% Cu0,7%/0,8mm,50g)</t>
  </si>
  <si>
    <r>
      <rPr>
        <color rgb="FF1155CC"/>
        <u/>
      </rPr>
      <t>TOWOT Lötzinn, Bleifreier Lötdraht mit Kolophoniumkern, Lötzinn Elektronik, Silberdraht Löten (Sn99,3% Cu0,7%/0,8mm,50g)</t>
    </r>
  </si>
  <si>
    <t>PCWork, PCW08I, Präzisions-Schraubendreher Set, 130 Teile</t>
  </si>
  <si>
    <t>https://www.berrybase.at/pcwork-pcw08i-praezisions-schraubendreher-set-130-teile</t>
  </si>
  <si>
    <t>BOENFU Seitenschneider Klein</t>
  </si>
  <si>
    <t>McPower Heißluftgebläse 1500 W, 2 Stufen 350°C 550°C, 300 l/min 500 l/min, Punktdüse, 230 V</t>
  </si>
  <si>
    <t>https://www.berrybase.at/mcpower-heissluftgeblaese-1500-w-2-stufen-3500c-5500c-300-l-min-500-l-min-punktduese-230-v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</si>
</sst>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 &quot;Stk.&quot;"/>
    <numFmt numFmtId="165" formatCode="#,##0.00\ [$€-1]"/>
  </numFmts>
  <fonts count="2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Roboto"/>
    </font>
    <font>
      <color theme="1"/>
      <name val="Arial"/>
    </font>
    <font>
      <b/>
      <color rgb="FF356854"/>
      <name val="Roboto"/>
    </font>
    <font>
      <color rgb="FF005A55"/>
      <name val="Roboto"/>
    </font>
    <font>
      <color rgb="FF9E5200"/>
      <name val="Roboto"/>
    </font>
    <font>
      <color rgb="FF952D33"/>
      <name val="Roboto"/>
    </font>
    <font>
      <color rgb="FF7D0304"/>
      <name val="Roboto"/>
    </font>
    <font>
      <b/>
      <color rgb="FF356854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rgb="FF434343"/>
      <name val="Arial"/>
    </font>
    <font>
      <u/>
      <color rgb="FF0000FF"/>
      <name val="Roboto"/>
    </font>
    <font>
      <strike/>
      <color theme="1"/>
      <name val="Arial"/>
    </font>
    <font>
      <sz val="9.0"/>
      <color rgb="FF222222"/>
      <name val="Arial"/>
    </font>
    <font>
      <sz val="9.0"/>
      <color rgb="FF434343"/>
      <name val="Arial"/>
    </font>
    <font>
      <u/>
      <color rgb="FF0000FF"/>
      <name val="Roboto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6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A535C"/>
      </left>
    </border>
    <border>
      <left style="thin">
        <color rgb="FFFFFFFF"/>
      </left>
      <right style="thin">
        <color rgb="FF4A535C"/>
      </right>
      <top style="thin">
        <color rgb="FFFFFFFF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4A535C"/>
      </bottom>
    </border>
    <border>
      <right style="thin">
        <color rgb="FF4A535C"/>
      </right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1" fillId="2" fontId="3" numFmtId="49" xfId="0" applyAlignment="1" applyBorder="1" applyFill="1" applyFont="1" applyNumberFormat="1">
      <alignment readingOrder="0" shrinkToFit="0" vertical="center" wrapText="0"/>
    </xf>
    <xf borderId="2" fillId="2" fontId="3" numFmtId="49" xfId="0" applyAlignment="1" applyBorder="1" applyFont="1" applyNumberFormat="1">
      <alignment readingOrder="0" shrinkToFit="0" vertical="center" wrapText="1"/>
    </xf>
    <xf borderId="2" fillId="2" fontId="3" numFmtId="0" xfId="0" applyAlignment="1" applyBorder="1" applyFont="1">
      <alignment horizontal="right" readingOrder="0" shrinkToFit="0" vertical="center" wrapText="0"/>
    </xf>
    <xf borderId="2" fillId="2" fontId="3" numFmtId="164" xfId="0" applyAlignment="1" applyBorder="1" applyFont="1" applyNumberFormat="1">
      <alignment horizontal="right" readingOrder="0" shrinkToFit="0" vertical="center" wrapText="0"/>
    </xf>
    <xf borderId="2" fillId="2" fontId="4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3" fillId="2" fontId="3" numFmtId="49" xfId="0" applyAlignment="1" applyBorder="1" applyFont="1" applyNumberFormat="1">
      <alignment readingOrder="0" shrinkToFit="0" vertical="center" wrapText="1"/>
    </xf>
    <xf borderId="4" fillId="3" fontId="3" numFmtId="49" xfId="0" applyAlignment="1" applyBorder="1" applyFill="1" applyFont="1" applyNumberFormat="1">
      <alignment readingOrder="0" shrinkToFit="0" vertical="center" wrapText="1"/>
    </xf>
    <xf borderId="5" fillId="3" fontId="3" numFmtId="49" xfId="0" applyAlignment="1" applyBorder="1" applyFont="1" applyNumberFormat="1">
      <alignment readingOrder="0" shrinkToFit="0" vertical="center" wrapText="1"/>
    </xf>
    <xf borderId="5" fillId="3" fontId="3" numFmtId="0" xfId="0" applyAlignment="1" applyBorder="1" applyFont="1">
      <alignment horizontal="right" readingOrder="0" shrinkToFit="0" vertical="center" wrapText="0"/>
    </xf>
    <xf borderId="5" fillId="3" fontId="3" numFmtId="164" xfId="0" applyAlignment="1" applyBorder="1" applyFont="1" applyNumberFormat="1">
      <alignment horizontal="right" readingOrder="0" shrinkToFit="0" vertical="center" wrapText="0"/>
    </xf>
    <xf borderId="5" fillId="3" fontId="4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1" fillId="2" fontId="3" numFmtId="49" xfId="0" applyAlignment="1" applyBorder="1" applyFont="1" applyNumberFormat="1">
      <alignment readingOrder="0" shrinkToFit="0" vertical="center" wrapText="1"/>
    </xf>
    <xf borderId="2" fillId="2" fontId="7" numFmtId="0" xfId="0" applyAlignment="1" applyBorder="1" applyFont="1">
      <alignment readingOrder="0"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2" fillId="2" fontId="9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5" fillId="3" fontId="9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6" fillId="3" fontId="3" numFmtId="49" xfId="0" applyAlignment="1" applyBorder="1" applyFont="1" applyNumberFormat="1">
      <alignment readingOrder="0" shrinkToFit="0" vertical="center" wrapText="1"/>
    </xf>
    <xf borderId="0" fillId="3" fontId="3" numFmtId="49" xfId="0" applyAlignment="1" applyFont="1" applyNumberFormat="1">
      <alignment readingOrder="0" shrinkToFit="0" vertical="center" wrapText="1"/>
    </xf>
    <xf borderId="0" fillId="3" fontId="3" numFmtId="0" xfId="0" applyAlignment="1" applyFont="1">
      <alignment horizontal="right" readingOrder="0" shrinkToFit="0" vertical="center" wrapText="0"/>
    </xf>
    <xf borderId="0" fillId="3" fontId="3" numFmtId="164" xfId="0" applyAlignment="1" applyFont="1" applyNumberFormat="1">
      <alignment horizontal="right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horizontal="right" shrinkToFit="0" vertical="center" wrapText="0"/>
    </xf>
    <xf borderId="0" fillId="3" fontId="9" numFmtId="0" xfId="0" applyAlignment="1" applyFont="1">
      <alignment shrinkToFit="0" vertical="center" wrapText="0"/>
    </xf>
    <xf borderId="7" fillId="2" fontId="3" numFmtId="49" xfId="0" applyAlignment="1" applyBorder="1" applyFont="1" applyNumberFormat="1">
      <alignment readingOrder="0" shrinkToFit="0" vertical="center" wrapText="1"/>
    </xf>
    <xf borderId="0" fillId="3" fontId="3" numFmtId="49" xfId="0" applyAlignment="1" applyFont="1" applyNumberFormat="1">
      <alignment shrinkToFit="0" vertical="center" wrapText="1"/>
    </xf>
    <xf borderId="0" fillId="3" fontId="3" numFmtId="164" xfId="0" applyAlignment="1" applyFont="1" applyNumberFormat="1">
      <alignment horizontal="right"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8" fillId="3" fontId="3" numFmtId="49" xfId="0" applyAlignment="1" applyBorder="1" applyFont="1" applyNumberFormat="1">
      <alignment shrinkToFit="0" vertical="center" wrapText="1"/>
    </xf>
    <xf borderId="8" fillId="3" fontId="3" numFmtId="0" xfId="0" applyAlignment="1" applyBorder="1" applyFont="1">
      <alignment horizontal="right" shrinkToFit="0" vertical="center" wrapText="0"/>
    </xf>
    <xf borderId="8" fillId="3" fontId="3" numFmtId="164" xfId="0" applyAlignment="1" applyBorder="1" applyFont="1" applyNumberFormat="1">
      <alignment horizontal="right" shrinkToFit="0" vertical="center" wrapText="0"/>
    </xf>
    <xf borderId="8" fillId="3" fontId="9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readingOrder="0" shrinkToFit="0" vertical="center" wrapText="0"/>
    </xf>
    <xf borderId="9" fillId="2" fontId="3" numFmtId="49" xfId="0" applyAlignment="1" applyBorder="1" applyFont="1" applyNumberFormat="1">
      <alignment readingOrder="0" shrinkToFit="0" vertical="center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1" numFmtId="165" xfId="0" applyAlignment="1" applyFont="1" applyNumberFormat="1">
      <alignment readingOrder="0"/>
    </xf>
    <xf borderId="2" fillId="2" fontId="3" numFmtId="49" xfId="0" applyAlignment="1" applyBorder="1" applyFont="1" applyNumberFormat="1">
      <alignment horizontal="right" readingOrder="0" shrinkToFit="0" vertical="center" wrapText="0"/>
    </xf>
    <xf borderId="5" fillId="3" fontId="3" numFmtId="49" xfId="0" applyAlignment="1" applyBorder="1" applyFont="1" applyNumberFormat="1">
      <alignment horizontal="right" readingOrder="0" shrinkToFit="0" vertical="center" wrapText="0"/>
    </xf>
    <xf borderId="10" fillId="3" fontId="11" numFmtId="49" xfId="0" applyAlignment="1" applyBorder="1" applyFont="1" applyNumberFormat="1">
      <alignment readingOrder="0" shrinkToFit="0" vertical="center" wrapText="0"/>
    </xf>
    <xf borderId="6" fillId="2" fontId="3" numFmtId="49" xfId="0" applyAlignment="1" applyBorder="1" applyFont="1" applyNumberFormat="1">
      <alignment readingOrder="0" shrinkToFit="0" vertical="center" wrapText="1"/>
    </xf>
    <xf borderId="0" fillId="2" fontId="3" numFmtId="49" xfId="0" applyAlignment="1" applyFont="1" applyNumberFormat="1">
      <alignment readingOrder="0" shrinkToFit="0" vertical="center" wrapText="1"/>
    </xf>
    <xf borderId="0" fillId="2" fontId="3" numFmtId="0" xfId="0" applyAlignment="1" applyFont="1">
      <alignment horizontal="right" readingOrder="0" shrinkToFit="0" vertical="center" wrapText="0"/>
    </xf>
    <xf borderId="0" fillId="2" fontId="3" numFmtId="49" xfId="0" applyAlignment="1" applyFont="1" applyNumberFormat="1">
      <alignment horizontal="right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10" fillId="3" fontId="3" numFmtId="49" xfId="0" applyAlignment="1" applyBorder="1" applyFont="1" applyNumberFormat="1">
      <alignment readingOrder="0" shrinkToFit="0" vertical="center" wrapText="0"/>
    </xf>
    <xf borderId="3" fillId="2" fontId="12" numFmtId="49" xfId="0" applyAlignment="1" applyBorder="1" applyFont="1" applyNumberFormat="1">
      <alignment readingOrder="0" shrinkToFit="0" vertical="center" wrapText="0"/>
    </xf>
    <xf borderId="11" fillId="3" fontId="3" numFmtId="49" xfId="0" applyAlignment="1" applyBorder="1" applyFont="1" applyNumberFormat="1">
      <alignment shrinkToFit="0" vertical="center" wrapText="1"/>
    </xf>
    <xf borderId="8" fillId="3" fontId="3" numFmtId="49" xfId="0" applyAlignment="1" applyBorder="1" applyFont="1" applyNumberFormat="1">
      <alignment horizontal="right" shrinkToFit="0" vertical="center" wrapText="0"/>
    </xf>
    <xf borderId="8" fillId="3" fontId="3" numFmtId="0" xfId="0" applyAlignment="1" applyBorder="1" applyFont="1">
      <alignment shrinkToFit="0" vertical="center" wrapText="0"/>
    </xf>
    <xf borderId="12" fillId="3" fontId="3" numFmtId="49" xfId="0" applyAlignment="1" applyBorder="1" applyFont="1" applyNumberFormat="1">
      <alignment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3" fontId="3" numFmtId="49" xfId="0" applyAlignment="1" applyFont="1" applyNumberFormat="1">
      <alignment horizontal="right"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13" fillId="3" fontId="3" numFmtId="49" xfId="0" applyAlignment="1" applyBorder="1" applyFont="1" applyNumberFormat="1">
      <alignment readingOrder="0" shrinkToFit="0" vertical="center" wrapText="0"/>
    </xf>
    <xf borderId="11" fillId="3" fontId="3" numFmtId="49" xfId="0" applyAlignment="1" applyBorder="1" applyFont="1" applyNumberFormat="1">
      <alignment readingOrder="0" shrinkToFit="0" vertical="center" wrapText="1"/>
    </xf>
    <xf borderId="12" fillId="3" fontId="13" numFmtId="49" xfId="0" applyAlignment="1" applyBorder="1" applyFont="1" applyNumberFormat="1">
      <alignment readingOrder="0" shrinkToFit="0" vertical="center" wrapText="0"/>
    </xf>
    <xf borderId="2" fillId="2" fontId="14" numFmtId="49" xfId="0" applyAlignment="1" applyBorder="1" applyFont="1" applyNumberFormat="1">
      <alignment readingOrder="0" shrinkToFit="0" vertical="center" wrapText="1"/>
    </xf>
    <xf borderId="0" fillId="0" fontId="15" numFmtId="49" xfId="0" applyAlignment="1" applyFont="1" applyNumberFormat="1">
      <alignment readingOrder="0" shrinkToFit="0" vertical="center" wrapText="0"/>
    </xf>
    <xf borderId="4" fillId="3" fontId="16" numFmtId="49" xfId="0" applyAlignment="1" applyBorder="1" applyFont="1" applyNumberFormat="1">
      <alignment readingOrder="0" shrinkToFit="0" vertical="center" wrapText="1"/>
    </xf>
    <xf borderId="0" fillId="2" fontId="17" numFmtId="0" xfId="0" applyAlignment="1" applyFont="1">
      <alignment readingOrder="0" shrinkToFit="0" vertical="center" wrapText="0"/>
    </xf>
    <xf borderId="0" fillId="2" fontId="18" numFmtId="49" xfId="0" applyAlignment="1" applyFont="1" applyNumberFormat="1">
      <alignment horizontal="right" readingOrder="0" shrinkToFit="0" vertical="center" wrapText="0"/>
    </xf>
    <xf borderId="14" fillId="3" fontId="9" numFmtId="0" xfId="0" applyAlignment="1" applyBorder="1" applyFont="1">
      <alignment readingOrder="0" shrinkToFit="0" vertical="center" wrapText="0"/>
    </xf>
    <xf borderId="14" fillId="3" fontId="3" numFmtId="0" xfId="0" applyAlignment="1" applyBorder="1" applyFont="1">
      <alignment readingOrder="0" shrinkToFit="0" vertical="center" wrapText="0"/>
    </xf>
    <xf borderId="0" fillId="0" fontId="19" numFmtId="49" xfId="0" applyAlignment="1" applyFont="1" applyNumberFormat="1">
      <alignment readingOrder="0" shrinkToFit="0" vertical="center" wrapText="0"/>
    </xf>
    <xf borderId="5" fillId="3" fontId="3" numFmtId="49" xfId="0" applyAlignment="1" applyBorder="1" applyFont="1" applyNumberFormat="1">
      <alignment readingOrder="0" shrinkToFit="0" vertical="center" wrapText="1"/>
    </xf>
    <xf borderId="4" fillId="3" fontId="3" numFmtId="49" xfId="0" applyAlignment="1" applyBorder="1" applyFont="1" applyNumberFormat="1">
      <alignment readingOrder="0" shrinkToFit="0" vertical="center" wrapText="1"/>
    </xf>
    <xf borderId="5" fillId="3" fontId="14" numFmtId="49" xfId="0" applyAlignment="1" applyBorder="1" applyFont="1" applyNumberFormat="1">
      <alignment readingOrder="0" shrinkToFit="0" vertical="center" wrapText="1"/>
    </xf>
    <xf borderId="4" fillId="3" fontId="14" numFmtId="49" xfId="0" applyAlignment="1" applyBorder="1" applyFont="1" applyNumberFormat="1">
      <alignment readingOrder="0" shrinkToFit="0" vertical="center" wrapText="1"/>
    </xf>
    <xf borderId="14" fillId="3" fontId="3" numFmtId="49" xfId="0" applyAlignment="1" applyBorder="1" applyFont="1" applyNumberFormat="1">
      <alignment shrinkToFit="0" vertical="center" wrapText="1"/>
    </xf>
    <xf borderId="0" fillId="3" fontId="3" numFmtId="49" xfId="0" applyAlignment="1" applyFont="1" applyNumberFormat="1">
      <alignment shrinkToFit="0" vertical="center" wrapText="0"/>
    </xf>
    <xf borderId="8" fillId="3" fontId="3" numFmtId="49" xfId="0" applyAlignment="1" applyBorder="1" applyFont="1" applyNumberFormat="1">
      <alignment readingOrder="0" shrinkToFit="0" vertical="center" wrapText="1"/>
    </xf>
    <xf borderId="8" fillId="3" fontId="3" numFmtId="0" xfId="0" applyAlignment="1" applyBorder="1" applyFont="1">
      <alignment horizontal="right" readingOrder="0" shrinkToFit="0" vertical="center" wrapText="0"/>
    </xf>
    <xf borderId="8" fillId="3" fontId="3" numFmtId="49" xfId="0" applyAlignment="1" applyBorder="1" applyFont="1" applyNumberFormat="1">
      <alignment horizontal="right" readingOrder="0" shrinkToFit="0" vertical="center" wrapText="0"/>
    </xf>
    <xf borderId="8" fillId="3" fontId="9" numFmtId="0" xfId="0" applyAlignment="1" applyBorder="1" applyFont="1">
      <alignment readingOrder="0" shrinkToFit="0" vertical="center" wrapText="0"/>
    </xf>
    <xf borderId="0" fillId="2" fontId="3" numFmtId="49" xfId="0" applyAlignment="1" applyFont="1" applyNumberFormat="1">
      <alignment readingOrder="0" shrinkToFit="0" vertical="center" wrapText="1"/>
    </xf>
    <xf borderId="0" fillId="3" fontId="8" numFmtId="0" xfId="0" applyAlignment="1" applyFon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0" numFmtId="49" xfId="0" applyAlignment="1" applyFont="1" applyNumberFormat="1">
      <alignment readingOrder="0" shrinkToFit="0" vertical="center" wrapText="0"/>
    </xf>
    <xf borderId="0" fillId="2" fontId="3" numFmtId="49" xfId="0" applyAlignment="1" applyFont="1" applyNumberFormat="1">
      <alignment shrinkToFit="0" vertical="center" wrapText="0"/>
    </xf>
    <xf borderId="6" fillId="2" fontId="14" numFmtId="49" xfId="0" applyAlignment="1" applyBorder="1" applyFont="1" applyNumberFormat="1">
      <alignment readingOrder="0" shrinkToFit="0" vertical="center" wrapText="1"/>
    </xf>
    <xf borderId="3" fillId="2" fontId="3" numFmtId="49" xfId="0" applyAlignment="1" applyBorder="1" applyFont="1" applyNumberFormat="1">
      <alignment shrinkToFit="0" vertical="center" wrapText="0"/>
    </xf>
    <xf borderId="13" fillId="3" fontId="21" numFmtId="49" xfId="0" applyAlignment="1" applyBorder="1" applyFont="1" applyNumberFormat="1">
      <alignment readingOrder="0" shrinkToFit="0" vertical="center" wrapText="0"/>
    </xf>
    <xf borderId="13" fillId="3" fontId="3" numFmtId="49" xfId="0" applyAlignment="1" applyBorder="1" applyFont="1" applyNumberFormat="1">
      <alignment readingOrder="0" shrinkToFit="0" vertical="center" wrapText="0"/>
    </xf>
    <xf borderId="0" fillId="3" fontId="3" numFmtId="49" xfId="0" applyAlignment="1" applyFont="1" applyNumberFormat="1">
      <alignment horizontal="right" shrinkToFit="0" vertical="center" wrapText="0"/>
    </xf>
    <xf borderId="12" fillId="3" fontId="3" numFmtId="49" xfId="0" applyAlignment="1" applyBorder="1" applyFont="1" applyNumberFormat="1">
      <alignment readingOrder="0" shrinkToFit="0" vertical="center" wrapText="0"/>
    </xf>
    <xf borderId="3" fillId="2" fontId="22" numFmtId="49" xfId="0" applyAlignment="1" applyBorder="1" applyFont="1" applyNumberFormat="1">
      <alignment readingOrder="0" shrinkToFit="0" vertical="center" wrapText="1"/>
    </xf>
    <xf borderId="13" fillId="2" fontId="23" numFmtId="49" xfId="0" applyAlignment="1" applyBorder="1" applyFont="1" applyNumberFormat="1">
      <alignment readingOrder="0" shrinkToFit="0" vertical="center" wrapText="0"/>
    </xf>
    <xf borderId="15" fillId="2" fontId="3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7">
    <tableStyle count="4" pivot="0" name="Tabellenblat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24" displayName="A_Grundstruktur" name="A_Grundstruktur" id="1">
  <tableColumns count="7">
    <tableColumn name="Artikel" id="1"/>
    <tableColumn name="Spezifikation" id="2"/>
    <tableColumn name="Einzelpreis" id="3"/>
    <tableColumn name="Menge" id="4"/>
    <tableColumn name="Positionspreis" id="5"/>
    <tableColumn name="Status" id="6"/>
    <tableColumn name="Hinweise" id="7"/>
  </tableColumns>
  <tableStyleInfo name="Tabellenblatt1-style" showColumnStripes="0" showFirstColumn="1" showLastColumn="1" showRowStripes="1"/>
</table>
</file>

<file path=xl/tables/table2.xml><?xml version="1.0" encoding="utf-8"?>
<table xmlns="http://schemas.openxmlformats.org/spreadsheetml/2006/main" ref="A29:G36" displayName="B_Verkleidung_und_Abdichtung" name="B_Verkleidung_und_Abdichtung" id="2">
  <tableColumns count="7">
    <tableColumn name="Artikel" id="1"/>
    <tableColumn name="Spezifikation" id="2"/>
    <tableColumn name="Einzelpreis" id="3"/>
    <tableColumn name="Menge" id="4"/>
    <tableColumn name="Positionspreis" id="5"/>
    <tableColumn name="Status" id="6"/>
    <tableColumn name="Hinweise" id="7"/>
  </tableColumns>
  <tableStyleInfo name="Tabellenblatt1-style 2" showColumnStripes="0" showFirstColumn="1" showLastColumn="1" showRowStripes="1"/>
</table>
</file>

<file path=xl/tables/table3.xml><?xml version="1.0" encoding="utf-8"?>
<table xmlns="http://schemas.openxmlformats.org/spreadsheetml/2006/main" ref="A39:G42" displayName="C_Handybefestigung" name="C_Handybefestigung" id="3">
  <tableColumns count="7">
    <tableColumn name="Artikel" id="1"/>
    <tableColumn name="Spezifikation" id="2"/>
    <tableColumn name="Einzelpreis" id="3"/>
    <tableColumn name="Menge" id="4"/>
    <tableColumn name="Positionspreis" id="5"/>
    <tableColumn name="Status" id="6"/>
    <tableColumn name="Hinweise" id="7"/>
  </tableColumns>
  <tableStyleInfo name="Tabellenblatt1-style 3" showColumnStripes="0" showFirstColumn="1" showLastColumn="1" showRowStripes="1"/>
</table>
</file>

<file path=xl/tables/table4.xml><?xml version="1.0" encoding="utf-8"?>
<table xmlns="http://schemas.openxmlformats.org/spreadsheetml/2006/main" ref="A45:G53" displayName="D_Beleuchtung" name="D_Beleuchtung" id="4">
  <tableColumns count="7">
    <tableColumn name="Artikel" id="1"/>
    <tableColumn name="Spezifikation" id="2"/>
    <tableColumn name="Einzelpreis" id="3"/>
    <tableColumn name="Menge" id="4"/>
    <tableColumn name="Positionspreis" id="5"/>
    <tableColumn name="Status" id="6"/>
    <tableColumn name="Hinweise" id="7"/>
  </tableColumns>
  <tableStyleInfo name="Tabellenblatt1-style 4" showColumnStripes="0" showFirstColumn="1" showLastColumn="1" showRowStripes="1"/>
</table>
</file>

<file path=xl/tables/table5.xml><?xml version="1.0" encoding="utf-8"?>
<table xmlns="http://schemas.openxmlformats.org/spreadsheetml/2006/main" ref="A56:G83" displayName="E_Stromversorgung_und_Steuerung" name="E_Stromversorgung_und_Steuerung" id="5">
  <tableColumns count="7">
    <tableColumn name="Artikel" id="1"/>
    <tableColumn name="Spezifikation" id="2"/>
    <tableColumn name="Einzelpreis" id="3"/>
    <tableColumn name="Menge" id="4"/>
    <tableColumn name="Positionspreis" id="5"/>
    <tableColumn name="Status" id="6"/>
    <tableColumn name="Hinweise" id="7"/>
  </tableColumns>
  <tableStyleInfo name="Tabellenblatt1-style 5" showColumnStripes="0" showFirstColumn="1" showLastColumn="1" showRowStripes="1"/>
</table>
</file>

<file path=xl/tables/table6.xml><?xml version="1.0" encoding="utf-8"?>
<table xmlns="http://schemas.openxmlformats.org/spreadsheetml/2006/main" ref="A86:G93" displayName="F_Kabel" name="F_Kabel" id="6">
  <tableColumns count="7">
    <tableColumn name="Artikel" id="1"/>
    <tableColumn name="Spezifikation" id="2"/>
    <tableColumn name="Einzelpreis" id="3"/>
    <tableColumn name="Menge" id="4"/>
    <tableColumn name="Positionspreis" id="5"/>
    <tableColumn name="Status" id="6"/>
    <tableColumn name="Hinweise" id="7"/>
  </tableColumns>
  <tableStyleInfo name="Tabellenblatt1-style 6" showColumnStripes="0" showFirstColumn="1" showLastColumn="1" showRowStripes="1"/>
</table>
</file>

<file path=xl/tables/table7.xml><?xml version="1.0" encoding="utf-8"?>
<table xmlns="http://schemas.openxmlformats.org/spreadsheetml/2006/main" ref="A96:G111" displayName="Werkzeug" name="Werkzeug" id="7">
  <tableColumns count="7">
    <tableColumn name="Artikel" id="1"/>
    <tableColumn name="Spezifikation" id="2"/>
    <tableColumn name="Einzelpreis" id="3"/>
    <tableColumn name="Menge" id="4"/>
    <tableColumn name="Positionspreis" id="5"/>
    <tableColumn name="Status" id="6"/>
    <tableColumn name="Hinweise" id="7"/>
  </tableColumns>
  <tableStyleInfo name="Tabellenblat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40" Type="http://schemas.openxmlformats.org/officeDocument/2006/relationships/hyperlink" Target="https://www.amazon.de/dp/B0B459TZXF" TargetMode="External"/><Relationship Id="rId42" Type="http://schemas.openxmlformats.org/officeDocument/2006/relationships/hyperlink" Target="https://www.amazon.de/dp/B09B3GRVTM" TargetMode="External"/><Relationship Id="rId41" Type="http://schemas.openxmlformats.org/officeDocument/2006/relationships/hyperlink" Target="https://www.amazon.de/dp/B07XTRP6Z2" TargetMode="External"/><Relationship Id="rId44" Type="http://schemas.openxmlformats.org/officeDocument/2006/relationships/hyperlink" Target="https://www.amazon.de/dp/B094FDRLRS" TargetMode="External"/><Relationship Id="rId43" Type="http://schemas.openxmlformats.org/officeDocument/2006/relationships/hyperlink" Target="https://www.amazon.de/dp/B09SPYTP84" TargetMode="External"/><Relationship Id="rId46" Type="http://schemas.openxmlformats.org/officeDocument/2006/relationships/hyperlink" Target="https://www.berrybase.at/pcwork-pcw08i-praezisions-schraubendreher-set-130-teile" TargetMode="External"/><Relationship Id="rId45" Type="http://schemas.openxmlformats.org/officeDocument/2006/relationships/hyperlink" Target="https://www.amazon.de/dp/B09H2HMJ29" TargetMode="External"/><Relationship Id="rId1" Type="http://schemas.openxmlformats.org/officeDocument/2006/relationships/hyperlink" Target="http://amazon.de/" TargetMode="External"/><Relationship Id="rId2" Type="http://schemas.openxmlformats.org/officeDocument/2006/relationships/hyperlink" Target="https://www.amazon.de/moosgummi-selbstklebend-20mm/s?k=moosgummi+selbstklebend+20mm" TargetMode="External"/><Relationship Id="rId3" Type="http://schemas.openxmlformats.org/officeDocument/2006/relationships/hyperlink" Target="http://amazon.de/" TargetMode="External"/><Relationship Id="rId4" Type="http://schemas.openxmlformats.org/officeDocument/2006/relationships/hyperlink" Target="https://www.amazon.de/dp/B0DH15TCTM" TargetMode="External"/><Relationship Id="rId9" Type="http://schemas.openxmlformats.org/officeDocument/2006/relationships/hyperlink" Target="https://www.amazon.de/dp/B0BRK9RHXN" TargetMode="External"/><Relationship Id="rId48" Type="http://schemas.openxmlformats.org/officeDocument/2006/relationships/drawing" Target="../drawings/drawing1.xml"/><Relationship Id="rId47" Type="http://schemas.openxmlformats.org/officeDocument/2006/relationships/hyperlink" Target="https://www.berrybase.at/mcpower-heissluftgeblaese-1500-w-2-stufen-3500c-5500c-300-l-min-500-l-min-punktduese-230-v" TargetMode="External"/><Relationship Id="rId5" Type="http://schemas.openxmlformats.org/officeDocument/2006/relationships/hyperlink" Target="https://www.amazon.de/dp/B0GG3VBBQP" TargetMode="External"/><Relationship Id="rId6" Type="http://schemas.openxmlformats.org/officeDocument/2006/relationships/hyperlink" Target="https://www.amazon.de/dp/B0BWXTNQN1" TargetMode="External"/><Relationship Id="rId7" Type="http://schemas.openxmlformats.org/officeDocument/2006/relationships/hyperlink" Target="http://conrad.at/" TargetMode="External"/><Relationship Id="rId8" Type="http://schemas.openxmlformats.org/officeDocument/2006/relationships/hyperlink" Target="https://www.conrad.at/de/p/mean-well-ldd-700lw-dc-dc-wandler-print-36-4-w-anzahl-ausgaenge-1-x-inhalt-1-st-1292808.html?searchType=SearchRedirect" TargetMode="External"/><Relationship Id="rId31" Type="http://schemas.openxmlformats.org/officeDocument/2006/relationships/hyperlink" Target="http://reichelt.at/" TargetMode="External"/><Relationship Id="rId30" Type="http://schemas.openxmlformats.org/officeDocument/2006/relationships/hyperlink" Target="http://kunststoff.at" TargetMode="External"/><Relationship Id="rId33" Type="http://schemas.openxmlformats.org/officeDocument/2006/relationships/hyperlink" Target="http://reichelt.at" TargetMode="External"/><Relationship Id="rId32" Type="http://schemas.openxmlformats.org/officeDocument/2006/relationships/hyperlink" Target="http://reichelt.at" TargetMode="External"/><Relationship Id="rId35" Type="http://schemas.openxmlformats.org/officeDocument/2006/relationships/hyperlink" Target="http://reichelt.at" TargetMode="External"/><Relationship Id="rId34" Type="http://schemas.openxmlformats.org/officeDocument/2006/relationships/hyperlink" Target="http://reichelt.at" TargetMode="External"/><Relationship Id="rId37" Type="http://schemas.openxmlformats.org/officeDocument/2006/relationships/hyperlink" Target="http://reichelt.at" TargetMode="External"/><Relationship Id="rId36" Type="http://schemas.openxmlformats.org/officeDocument/2006/relationships/hyperlink" Target="http://reichelt.at" TargetMode="External"/><Relationship Id="rId39" Type="http://schemas.openxmlformats.org/officeDocument/2006/relationships/hyperlink" Target="https://www.hornbach.at/p/zug-kapp-und-gehrungssaege-metabo-kgs-216-m-set-1200-w-230-v/10721005/" TargetMode="External"/><Relationship Id="rId38" Type="http://schemas.openxmlformats.org/officeDocument/2006/relationships/hyperlink" Target="https://www.amazon.de/dp/B0DSS3D1XP" TargetMode="External"/><Relationship Id="rId62" Type="http://schemas.openxmlformats.org/officeDocument/2006/relationships/table" Target="../tables/table7.xml"/><Relationship Id="rId61" Type="http://schemas.openxmlformats.org/officeDocument/2006/relationships/table" Target="../tables/table6.xml"/><Relationship Id="rId20" Type="http://schemas.openxmlformats.org/officeDocument/2006/relationships/hyperlink" Target="http://reichelt.at" TargetMode="External"/><Relationship Id="rId22" Type="http://schemas.openxmlformats.org/officeDocument/2006/relationships/hyperlink" Target="https://www.reichelt.at/at/de/shop/produkt/raspberry_pi_-_abstandshalter-sortiment_m2_5-223625?nbc=1" TargetMode="External"/><Relationship Id="rId21" Type="http://schemas.openxmlformats.org/officeDocument/2006/relationships/hyperlink" Target="http://amazon.de" TargetMode="External"/><Relationship Id="rId24" Type="http://schemas.openxmlformats.org/officeDocument/2006/relationships/hyperlink" Target="https://www.berrybase.at/loetverbinder-set-100-teilig-in-sortimentsbox" TargetMode="External"/><Relationship Id="rId23" Type="http://schemas.openxmlformats.org/officeDocument/2006/relationships/hyperlink" Target="https://www.reichelt.at/at/de/shop/produkt/kabelbinder-set_verschiedene_groessen_mehrfarbig_600er-pack-121916?nbc=1" TargetMode="External"/><Relationship Id="rId60" Type="http://schemas.openxmlformats.org/officeDocument/2006/relationships/table" Target="../tables/table5.xml"/><Relationship Id="rId26" Type="http://schemas.openxmlformats.org/officeDocument/2006/relationships/hyperlink" Target="https://www.amazon.de/dp/B0BKB5YT5N" TargetMode="External"/><Relationship Id="rId25" Type="http://schemas.openxmlformats.org/officeDocument/2006/relationships/hyperlink" Target="https://www.berrybase.at/loetverbinder-schrumpfschlauch-set-300-teilig-in-sortimentsbox" TargetMode="External"/><Relationship Id="rId28" Type="http://schemas.openxmlformats.org/officeDocument/2006/relationships/hyperlink" Target="https://www.amazon.de/dp/B07P61DM86" TargetMode="External"/><Relationship Id="rId27" Type="http://schemas.openxmlformats.org/officeDocument/2006/relationships/hyperlink" Target="https://www.amazon.de/dp/B086SDBZZZ" TargetMode="External"/><Relationship Id="rId29" Type="http://schemas.openxmlformats.org/officeDocument/2006/relationships/hyperlink" Target="https://www.reichelt.at/at/de/shop/produkt/klebesockel_38x38mm_mb5apt-a_schwarz-341113?nbc=1" TargetMode="External"/><Relationship Id="rId11" Type="http://schemas.openxmlformats.org/officeDocument/2006/relationships/hyperlink" Target="https://www.amazon.de/dp/B0FTFX3RH8" TargetMode="External"/><Relationship Id="rId10" Type="http://schemas.openxmlformats.org/officeDocument/2006/relationships/hyperlink" Target="https://www.amazon.de/dp/B08731ZPCR" TargetMode="External"/><Relationship Id="rId13" Type="http://schemas.openxmlformats.org/officeDocument/2006/relationships/hyperlink" Target="https://www.amazon.de/dp/B0DXPWDZWQ" TargetMode="External"/><Relationship Id="rId57" Type="http://schemas.openxmlformats.org/officeDocument/2006/relationships/table" Target="../tables/table2.xml"/><Relationship Id="rId12" Type="http://schemas.openxmlformats.org/officeDocument/2006/relationships/hyperlink" Target="https://www.amazon.de/dp/B0DYP4L1XD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www.amazon.de/dp/B08GKQMC72" TargetMode="External"/><Relationship Id="rId59" Type="http://schemas.openxmlformats.org/officeDocument/2006/relationships/table" Target="../tables/table4.xml"/><Relationship Id="rId14" Type="http://schemas.openxmlformats.org/officeDocument/2006/relationships/hyperlink" Target="https://www.reichelt.at/at/de/shop/produkt/raspberry_pi_4_b_4x_1_8_ghz_2_gb_ram_wlan_bt-259919?nbc=1" TargetMode="External"/><Relationship Id="rId58" Type="http://schemas.openxmlformats.org/officeDocument/2006/relationships/table" Target="../tables/table3.xml"/><Relationship Id="rId17" Type="http://schemas.openxmlformats.org/officeDocument/2006/relationships/hyperlink" Target="https://www.amazon.de/dp/B074P726ZR" TargetMode="External"/><Relationship Id="rId16" Type="http://schemas.openxmlformats.org/officeDocument/2006/relationships/hyperlink" Target="https://www.amazon.de/dp/B06XYHN68L" TargetMode="External"/><Relationship Id="rId19" Type="http://schemas.openxmlformats.org/officeDocument/2006/relationships/hyperlink" Target="http://reichelt.at" TargetMode="External"/><Relationship Id="rId18" Type="http://schemas.openxmlformats.org/officeDocument/2006/relationships/hyperlink" Target="https://www.reichelt.at/at/de/shop/produkt/entwicklerboards_-_steckbrueckenkabel_40_pole_f_f_40_cm-340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42.75"/>
    <col customWidth="1" min="3" max="3" width="15.0"/>
    <col customWidth="1" min="4" max="4" width="10.38"/>
    <col customWidth="1" min="5" max="5" width="16.63"/>
    <col customWidth="1" min="6" max="6" width="16.25"/>
    <col customWidth="1" min="7" max="7" width="24.5"/>
  </cols>
  <sheetData>
    <row r="1">
      <c r="A1" s="1" t="s">
        <v>0</v>
      </c>
    </row>
    <row r="4" ht="22.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ht="22.5" customHeight="1">
      <c r="A5" s="3" t="s">
        <v>8</v>
      </c>
      <c r="B5" s="4" t="s">
        <v>9</v>
      </c>
      <c r="C5" s="5">
        <v>13.88</v>
      </c>
      <c r="D5" s="6">
        <v>5.0</v>
      </c>
      <c r="E5" s="7">
        <v>69.4</v>
      </c>
      <c r="F5" s="8" t="s">
        <v>10</v>
      </c>
      <c r="G5" s="9" t="s">
        <v>11</v>
      </c>
    </row>
    <row r="6" ht="22.5" customHeight="1">
      <c r="A6" s="10" t="s">
        <v>8</v>
      </c>
      <c r="B6" s="11" t="s">
        <v>12</v>
      </c>
      <c r="C6" s="12">
        <v>14.1</v>
      </c>
      <c r="D6" s="13">
        <v>4.0</v>
      </c>
      <c r="E6" s="14">
        <v>56.4</v>
      </c>
      <c r="F6" s="15" t="s">
        <v>10</v>
      </c>
      <c r="G6" s="9" t="s">
        <v>11</v>
      </c>
    </row>
    <row r="7" ht="22.5" customHeight="1">
      <c r="A7" s="16" t="s">
        <v>8</v>
      </c>
      <c r="B7" s="4" t="s">
        <v>13</v>
      </c>
      <c r="C7" s="5">
        <v>9.49</v>
      </c>
      <c r="D7" s="6">
        <v>4.0</v>
      </c>
      <c r="E7" s="7">
        <v>37.96</v>
      </c>
      <c r="F7" s="17" t="s">
        <v>10</v>
      </c>
      <c r="G7" s="9" t="s">
        <v>11</v>
      </c>
    </row>
    <row r="8" ht="22.5" customHeight="1">
      <c r="A8" s="10" t="s">
        <v>8</v>
      </c>
      <c r="B8" s="11" t="s">
        <v>14</v>
      </c>
      <c r="C8" s="12">
        <v>17.91</v>
      </c>
      <c r="D8" s="13">
        <v>4.0</v>
      </c>
      <c r="E8" s="14">
        <v>71.64</v>
      </c>
      <c r="F8" s="18" t="s">
        <v>10</v>
      </c>
      <c r="G8" s="9" t="s">
        <v>11</v>
      </c>
    </row>
    <row r="9" ht="22.5" customHeight="1">
      <c r="A9" s="16" t="s">
        <v>8</v>
      </c>
      <c r="B9" s="4" t="s">
        <v>15</v>
      </c>
      <c r="C9" s="5">
        <v>6.99</v>
      </c>
      <c r="D9" s="6">
        <v>2.0</v>
      </c>
      <c r="E9" s="19">
        <v>13.98</v>
      </c>
      <c r="F9" s="20" t="s">
        <v>10</v>
      </c>
      <c r="G9" s="9" t="s">
        <v>11</v>
      </c>
    </row>
    <row r="10" ht="22.5" customHeight="1">
      <c r="A10" s="10" t="s">
        <v>16</v>
      </c>
      <c r="B10" s="11" t="s">
        <v>17</v>
      </c>
      <c r="C10" s="12">
        <v>5.04</v>
      </c>
      <c r="D10" s="13">
        <v>4.0</v>
      </c>
      <c r="E10" s="21">
        <v>20.16</v>
      </c>
      <c r="F10" s="22" t="s">
        <v>10</v>
      </c>
      <c r="G10" s="9" t="s">
        <v>11</v>
      </c>
    </row>
    <row r="11" ht="22.5" customHeight="1">
      <c r="A11" s="16" t="s">
        <v>18</v>
      </c>
      <c r="B11" s="4" t="s">
        <v>17</v>
      </c>
      <c r="C11" s="5">
        <v>1.61</v>
      </c>
      <c r="D11" s="6">
        <v>24.0</v>
      </c>
      <c r="E11" s="19">
        <v>38.64</v>
      </c>
      <c r="F11" s="20" t="s">
        <v>10</v>
      </c>
      <c r="G11" s="9" t="s">
        <v>11</v>
      </c>
    </row>
    <row r="12" ht="22.5" customHeight="1">
      <c r="A12" s="10" t="s">
        <v>19</v>
      </c>
      <c r="B12" s="11" t="s">
        <v>17</v>
      </c>
      <c r="C12" s="12">
        <v>4.44</v>
      </c>
      <c r="D12" s="13">
        <v>4.0</v>
      </c>
      <c r="E12" s="21">
        <v>17.76</v>
      </c>
      <c r="F12" s="22" t="s">
        <v>10</v>
      </c>
      <c r="G12" s="9" t="s">
        <v>11</v>
      </c>
    </row>
    <row r="13" ht="22.5" customHeight="1">
      <c r="A13" s="16" t="s">
        <v>20</v>
      </c>
      <c r="B13" s="4" t="s">
        <v>17</v>
      </c>
      <c r="C13" s="5">
        <v>0.27</v>
      </c>
      <c r="D13" s="6">
        <v>24.0</v>
      </c>
      <c r="E13" s="19">
        <v>6.48</v>
      </c>
      <c r="F13" s="20" t="s">
        <v>10</v>
      </c>
      <c r="G13" s="9" t="s">
        <v>11</v>
      </c>
    </row>
    <row r="14" ht="22.5" customHeight="1">
      <c r="A14" s="10" t="s">
        <v>21</v>
      </c>
      <c r="B14" s="11" t="s">
        <v>17</v>
      </c>
      <c r="C14" s="12">
        <v>0.28</v>
      </c>
      <c r="D14" s="13">
        <v>100.0</v>
      </c>
      <c r="E14" s="21">
        <v>11.2</v>
      </c>
      <c r="F14" s="22" t="s">
        <v>10</v>
      </c>
      <c r="G14" s="9" t="s">
        <v>11</v>
      </c>
    </row>
    <row r="15" ht="22.5" customHeight="1">
      <c r="A15" s="16" t="s">
        <v>22</v>
      </c>
      <c r="B15" s="4" t="s">
        <v>17</v>
      </c>
      <c r="C15" s="5">
        <v>0.12</v>
      </c>
      <c r="D15" s="6">
        <v>100.0</v>
      </c>
      <c r="E15" s="19">
        <v>4.8</v>
      </c>
      <c r="F15" s="20" t="s">
        <v>10</v>
      </c>
      <c r="G15" s="9" t="s">
        <v>11</v>
      </c>
    </row>
    <row r="16" ht="22.5" customHeight="1">
      <c r="A16" s="10" t="s">
        <v>23</v>
      </c>
      <c r="B16" s="11" t="s">
        <v>17</v>
      </c>
      <c r="C16" s="12">
        <v>8.97</v>
      </c>
      <c r="D16" s="13">
        <v>13.0</v>
      </c>
      <c r="E16" s="21">
        <v>116.61</v>
      </c>
      <c r="F16" s="22" t="s">
        <v>10</v>
      </c>
      <c r="G16" s="9" t="s">
        <v>11</v>
      </c>
    </row>
    <row r="17" ht="22.5" customHeight="1">
      <c r="A17" s="16" t="s">
        <v>24</v>
      </c>
      <c r="B17" s="4" t="s">
        <v>17</v>
      </c>
      <c r="C17" s="5">
        <v>0.25</v>
      </c>
      <c r="D17" s="6">
        <v>60.0</v>
      </c>
      <c r="E17" s="19">
        <v>15.0</v>
      </c>
      <c r="F17" s="20" t="s">
        <v>10</v>
      </c>
      <c r="G17" s="9" t="s">
        <v>11</v>
      </c>
    </row>
    <row r="18" ht="22.5" customHeight="1">
      <c r="A18" s="23" t="s">
        <v>25</v>
      </c>
      <c r="B18" s="24" t="s">
        <v>17</v>
      </c>
      <c r="C18" s="25">
        <v>2.02</v>
      </c>
      <c r="D18" s="26">
        <v>4.0</v>
      </c>
      <c r="E18" s="27">
        <v>8.08</v>
      </c>
      <c r="F18" s="28" t="s">
        <v>10</v>
      </c>
      <c r="G18" s="9" t="s">
        <v>11</v>
      </c>
    </row>
    <row r="19" ht="22.5" customHeight="1">
      <c r="A19" s="23" t="s">
        <v>26</v>
      </c>
      <c r="B19" s="24" t="s">
        <v>17</v>
      </c>
      <c r="C19" s="25">
        <v>2.62</v>
      </c>
      <c r="D19" s="26">
        <v>2.0</v>
      </c>
      <c r="E19" s="27">
        <v>5.24</v>
      </c>
      <c r="F19" s="28" t="s">
        <v>10</v>
      </c>
      <c r="G19" s="9" t="s">
        <v>11</v>
      </c>
    </row>
    <row r="20" ht="22.5" customHeight="1">
      <c r="A20" s="23" t="s">
        <v>8</v>
      </c>
      <c r="B20" s="24" t="s">
        <v>27</v>
      </c>
      <c r="C20" s="29"/>
      <c r="D20" s="26" t="s">
        <v>28</v>
      </c>
      <c r="E20" s="30"/>
      <c r="F20" s="28" t="s">
        <v>10</v>
      </c>
      <c r="G20" s="31"/>
    </row>
    <row r="21" ht="22.5" customHeight="1">
      <c r="A21" s="23" t="s">
        <v>29</v>
      </c>
      <c r="B21" s="32"/>
      <c r="C21" s="29"/>
      <c r="D21" s="26">
        <v>8.0</v>
      </c>
      <c r="E21" s="30"/>
      <c r="F21" s="28" t="s">
        <v>10</v>
      </c>
      <c r="G21" s="31"/>
    </row>
    <row r="22" ht="22.5" customHeight="1">
      <c r="A22" s="23" t="s">
        <v>30</v>
      </c>
      <c r="B22" s="24" t="s">
        <v>31</v>
      </c>
      <c r="C22" s="29"/>
      <c r="D22" s="33"/>
      <c r="E22" s="30"/>
      <c r="F22" s="28" t="s">
        <v>10</v>
      </c>
      <c r="G22" s="31"/>
    </row>
    <row r="23" ht="22.5" customHeight="1">
      <c r="A23" s="34" t="s">
        <v>32</v>
      </c>
      <c r="B23" s="24" t="s">
        <v>33</v>
      </c>
      <c r="C23" s="29"/>
      <c r="D23" s="33"/>
      <c r="E23" s="30"/>
      <c r="F23" s="28" t="s">
        <v>10</v>
      </c>
      <c r="G23" s="31" t="s">
        <v>34</v>
      </c>
    </row>
    <row r="24" ht="22.5" customHeight="1">
      <c r="A24" s="34" t="s">
        <v>35</v>
      </c>
      <c r="B24" s="35"/>
      <c r="C24" s="36"/>
      <c r="D24" s="37"/>
      <c r="E24" s="38"/>
      <c r="F24" s="39" t="s">
        <v>10</v>
      </c>
      <c r="G24" s="40" t="s">
        <v>34</v>
      </c>
    </row>
    <row r="26">
      <c r="C26" s="41" t="s">
        <v>36</v>
      </c>
      <c r="D26" s="42"/>
      <c r="E26" s="43">
        <f>SUM(A_Grundstruktur[Positionspreis])</f>
        <v>493.35</v>
      </c>
    </row>
    <row r="27">
      <c r="C27" s="41" t="s">
        <v>37</v>
      </c>
      <c r="E27" s="44">
        <v>579.97</v>
      </c>
    </row>
    <row r="29" ht="22.5" customHeight="1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</row>
    <row r="30" ht="22.5" customHeight="1">
      <c r="A30" s="3" t="s">
        <v>38</v>
      </c>
      <c r="B30" s="4" t="s">
        <v>39</v>
      </c>
      <c r="C30" s="5"/>
      <c r="D30" s="45" t="s">
        <v>40</v>
      </c>
      <c r="E30" s="7"/>
      <c r="F30" s="8" t="s">
        <v>10</v>
      </c>
      <c r="G30" s="9" t="s">
        <v>34</v>
      </c>
    </row>
    <row r="31" ht="22.5" customHeight="1">
      <c r="A31" s="10" t="s">
        <v>41</v>
      </c>
      <c r="B31" s="11" t="s">
        <v>42</v>
      </c>
      <c r="C31" s="12">
        <v>16.99</v>
      </c>
      <c r="D31" s="46" t="s">
        <v>28</v>
      </c>
      <c r="E31" s="14">
        <v>57.12</v>
      </c>
      <c r="F31" s="15" t="s">
        <v>10</v>
      </c>
      <c r="G31" s="47" t="s">
        <v>43</v>
      </c>
    </row>
    <row r="32" ht="22.5" customHeight="1">
      <c r="A32" s="48" t="s">
        <v>44</v>
      </c>
      <c r="B32" s="49"/>
      <c r="C32" s="50"/>
      <c r="D32" s="51"/>
      <c r="E32" s="52"/>
      <c r="F32" s="53" t="s">
        <v>10</v>
      </c>
      <c r="G32" s="54" t="s">
        <v>34</v>
      </c>
    </row>
    <row r="33" ht="22.5" customHeight="1">
      <c r="A33" s="16" t="s">
        <v>45</v>
      </c>
      <c r="B33" s="4" t="s">
        <v>46</v>
      </c>
      <c r="C33" s="5">
        <v>12.35</v>
      </c>
      <c r="D33" s="45" t="s">
        <v>47</v>
      </c>
      <c r="E33" s="7">
        <v>12.35</v>
      </c>
      <c r="F33" s="17" t="s">
        <v>10</v>
      </c>
      <c r="G33" s="47" t="s">
        <v>48</v>
      </c>
    </row>
    <row r="34" ht="22.5" customHeight="1">
      <c r="A34" s="10" t="s">
        <v>49</v>
      </c>
      <c r="B34" s="11" t="s">
        <v>50</v>
      </c>
      <c r="C34" s="12">
        <v>6.89</v>
      </c>
      <c r="D34" s="46" t="s">
        <v>51</v>
      </c>
      <c r="E34" s="14">
        <v>6.89</v>
      </c>
      <c r="F34" s="18" t="s">
        <v>10</v>
      </c>
      <c r="G34" s="47" t="s">
        <v>43</v>
      </c>
    </row>
    <row r="35" ht="22.5" customHeight="1">
      <c r="A35" s="16" t="s">
        <v>52</v>
      </c>
      <c r="B35" s="4" t="s">
        <v>53</v>
      </c>
      <c r="C35" s="5">
        <v>4.99</v>
      </c>
      <c r="D35" s="45" t="s">
        <v>54</v>
      </c>
      <c r="E35" s="19">
        <v>4.99</v>
      </c>
      <c r="F35" s="20" t="s">
        <v>10</v>
      </c>
      <c r="G35" s="55" t="s">
        <v>55</v>
      </c>
    </row>
    <row r="36" ht="22.5" customHeight="1">
      <c r="A36" s="56"/>
      <c r="B36" s="35"/>
      <c r="C36" s="36"/>
      <c r="D36" s="57"/>
      <c r="E36" s="38"/>
      <c r="F36" s="58"/>
      <c r="G36" s="59"/>
    </row>
    <row r="39" ht="22.5" customHeight="1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7</v>
      </c>
    </row>
    <row r="40" ht="22.5" customHeight="1">
      <c r="A40" s="60" t="s">
        <v>56</v>
      </c>
      <c r="B40" s="4"/>
      <c r="C40" s="5">
        <v>7.89</v>
      </c>
      <c r="D40" s="45" t="s">
        <v>28</v>
      </c>
      <c r="E40" s="7">
        <v>7.89</v>
      </c>
      <c r="F40" s="8" t="s">
        <v>10</v>
      </c>
      <c r="G40" s="9"/>
    </row>
    <row r="41" ht="22.5" customHeight="1">
      <c r="A41" s="24" t="s">
        <v>57</v>
      </c>
      <c r="B41" s="24"/>
      <c r="C41" s="25"/>
      <c r="D41" s="61"/>
      <c r="E41" s="62"/>
      <c r="F41" s="63" t="s">
        <v>10</v>
      </c>
      <c r="G41" s="64"/>
    </row>
    <row r="42" ht="22.5" customHeight="1">
      <c r="A42" s="65" t="s">
        <v>58</v>
      </c>
      <c r="B42" s="35"/>
      <c r="C42" s="36"/>
      <c r="D42" s="57"/>
      <c r="E42" s="38"/>
      <c r="F42" s="39" t="s">
        <v>10</v>
      </c>
      <c r="G42" s="66" t="s">
        <v>59</v>
      </c>
    </row>
    <row r="45" ht="22.5" customHeight="1">
      <c r="A45" s="2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  <c r="G45" s="2" t="s">
        <v>7</v>
      </c>
    </row>
    <row r="46" ht="22.5" customHeight="1">
      <c r="A46" s="10" t="s">
        <v>60</v>
      </c>
      <c r="B46" s="67" t="s">
        <v>61</v>
      </c>
      <c r="C46" s="5">
        <v>6.3</v>
      </c>
      <c r="D46" s="45" t="s">
        <v>62</v>
      </c>
      <c r="E46" s="7">
        <f>C46*D46</f>
        <v>12.6</v>
      </c>
      <c r="F46" s="8" t="s">
        <v>10</v>
      </c>
      <c r="G46" s="68" t="s">
        <v>63</v>
      </c>
    </row>
    <row r="47" ht="22.5" customHeight="1">
      <c r="A47" s="69" t="s">
        <v>64</v>
      </c>
      <c r="B47" s="11" t="s">
        <v>65</v>
      </c>
      <c r="C47" s="70">
        <v>7.77</v>
      </c>
      <c r="D47" s="71" t="s">
        <v>66</v>
      </c>
      <c r="E47" s="14">
        <v>101.01</v>
      </c>
      <c r="F47" s="15" t="s">
        <v>10</v>
      </c>
      <c r="G47" s="47" t="s">
        <v>67</v>
      </c>
    </row>
    <row r="48" ht="22.5" customHeight="1">
      <c r="A48" s="10" t="s">
        <v>68</v>
      </c>
      <c r="B48" s="11" t="s">
        <v>65</v>
      </c>
      <c r="C48" s="70">
        <v>6.85</v>
      </c>
      <c r="D48" s="61" t="s">
        <v>69</v>
      </c>
      <c r="E48" s="72">
        <v>82.2</v>
      </c>
      <c r="F48" s="73" t="s">
        <v>10</v>
      </c>
      <c r="G48" s="74" t="s">
        <v>70</v>
      </c>
    </row>
    <row r="49" ht="22.5" customHeight="1">
      <c r="A49" s="10" t="s">
        <v>71</v>
      </c>
      <c r="B49" s="75" t="s">
        <v>72</v>
      </c>
      <c r="C49" s="70">
        <v>14.99</v>
      </c>
      <c r="D49" s="61" t="s">
        <v>73</v>
      </c>
      <c r="E49" s="72">
        <v>14.99</v>
      </c>
      <c r="F49" s="73" t="s">
        <v>10</v>
      </c>
      <c r="G49" s="68" t="s">
        <v>74</v>
      </c>
    </row>
    <row r="50" ht="22.5" customHeight="1">
      <c r="A50" s="10" t="s">
        <v>75</v>
      </c>
      <c r="B50" s="75" t="s">
        <v>76</v>
      </c>
      <c r="C50" s="70">
        <v>9.89</v>
      </c>
      <c r="D50" s="61" t="s">
        <v>77</v>
      </c>
      <c r="E50" s="72">
        <v>9.89</v>
      </c>
      <c r="F50" s="73" t="s">
        <v>10</v>
      </c>
      <c r="G50" s="68" t="s">
        <v>78</v>
      </c>
    </row>
    <row r="51" ht="22.5" customHeight="1">
      <c r="A51" s="76" t="s">
        <v>79</v>
      </c>
      <c r="B51" s="77" t="s">
        <v>80</v>
      </c>
      <c r="C51" s="25">
        <v>7.09</v>
      </c>
      <c r="D51" s="61" t="s">
        <v>81</v>
      </c>
      <c r="E51" s="72">
        <v>7.09</v>
      </c>
      <c r="F51" s="73" t="s">
        <v>10</v>
      </c>
      <c r="G51" s="68" t="s">
        <v>82</v>
      </c>
    </row>
    <row r="52" ht="22.5" customHeight="1">
      <c r="A52" s="78" t="s">
        <v>83</v>
      </c>
      <c r="B52" s="79"/>
      <c r="C52" s="25">
        <v>5.49</v>
      </c>
      <c r="D52" s="61" t="s">
        <v>84</v>
      </c>
      <c r="E52" s="72">
        <v>11.0</v>
      </c>
      <c r="F52" s="73" t="s">
        <v>10</v>
      </c>
      <c r="G52" s="80"/>
    </row>
    <row r="53" ht="22.5" customHeight="1">
      <c r="A53" s="65" t="s">
        <v>85</v>
      </c>
      <c r="B53" s="81" t="s">
        <v>86</v>
      </c>
      <c r="C53" s="82">
        <v>6.0</v>
      </c>
      <c r="D53" s="83" t="s">
        <v>87</v>
      </c>
      <c r="E53" s="84">
        <v>6.0</v>
      </c>
      <c r="F53" s="39" t="s">
        <v>10</v>
      </c>
      <c r="G53" s="66" t="s">
        <v>88</v>
      </c>
    </row>
    <row r="56" ht="22.5" customHeight="1">
      <c r="A56" s="2" t="s">
        <v>1</v>
      </c>
      <c r="B56" s="2" t="s">
        <v>2</v>
      </c>
      <c r="C56" s="2" t="s">
        <v>3</v>
      </c>
      <c r="D56" s="2" t="s">
        <v>4</v>
      </c>
      <c r="E56" s="2" t="s">
        <v>5</v>
      </c>
      <c r="F56" s="2" t="s">
        <v>6</v>
      </c>
      <c r="G56" s="2" t="s">
        <v>7</v>
      </c>
    </row>
    <row r="57" ht="22.5" customHeight="1">
      <c r="A57" s="78" t="s">
        <v>89</v>
      </c>
      <c r="B57" s="4" t="s">
        <v>90</v>
      </c>
      <c r="C57" s="5">
        <v>38.99</v>
      </c>
      <c r="D57" s="45" t="s">
        <v>91</v>
      </c>
      <c r="E57" s="7">
        <v>38.99</v>
      </c>
      <c r="F57" s="8" t="s">
        <v>10</v>
      </c>
      <c r="G57" s="68" t="s">
        <v>92</v>
      </c>
    </row>
    <row r="58" ht="22.5" customHeight="1">
      <c r="A58" s="85" t="s">
        <v>93</v>
      </c>
      <c r="B58" s="4" t="s">
        <v>94</v>
      </c>
      <c r="C58" s="12">
        <v>9.5</v>
      </c>
      <c r="D58" s="46" t="s">
        <v>91</v>
      </c>
      <c r="E58" s="14">
        <v>9.5</v>
      </c>
      <c r="F58" s="15" t="s">
        <v>10</v>
      </c>
      <c r="G58" s="34" t="s">
        <v>95</v>
      </c>
    </row>
    <row r="59" ht="22.5" customHeight="1">
      <c r="A59" s="85" t="s">
        <v>96</v>
      </c>
      <c r="B59" s="4" t="s">
        <v>97</v>
      </c>
      <c r="C59" s="5">
        <v>62.02</v>
      </c>
      <c r="D59" s="45" t="s">
        <v>91</v>
      </c>
      <c r="E59" s="7">
        <v>62.02</v>
      </c>
      <c r="F59" s="17" t="s">
        <v>10</v>
      </c>
      <c r="G59" s="47" t="s">
        <v>98</v>
      </c>
    </row>
    <row r="60" ht="22.5" customHeight="1">
      <c r="A60" s="24" t="s">
        <v>99</v>
      </c>
      <c r="B60" s="4" t="s">
        <v>100</v>
      </c>
      <c r="C60" s="25">
        <v>19.99</v>
      </c>
      <c r="D60" s="61" t="s">
        <v>91</v>
      </c>
      <c r="E60" s="62">
        <v>19.99</v>
      </c>
      <c r="F60" s="86" t="s">
        <v>10</v>
      </c>
      <c r="G60" s="68" t="s">
        <v>101</v>
      </c>
    </row>
    <row r="61" ht="22.5" customHeight="1">
      <c r="A61" s="24" t="s">
        <v>102</v>
      </c>
      <c r="B61" s="4"/>
      <c r="C61" s="25">
        <v>28.95</v>
      </c>
      <c r="D61" s="61" t="s">
        <v>91</v>
      </c>
      <c r="E61" s="62">
        <v>28.95</v>
      </c>
      <c r="F61" s="86" t="s">
        <v>10</v>
      </c>
      <c r="G61" s="34"/>
    </row>
    <row r="62" ht="22.5" customHeight="1">
      <c r="A62" s="69" t="s">
        <v>103</v>
      </c>
      <c r="B62" s="4" t="s">
        <v>104</v>
      </c>
      <c r="C62" s="12">
        <v>19.25</v>
      </c>
      <c r="D62" s="46" t="s">
        <v>91</v>
      </c>
      <c r="E62" s="14">
        <v>19.25</v>
      </c>
      <c r="F62" s="18" t="s">
        <v>10</v>
      </c>
      <c r="G62" s="68" t="s">
        <v>105</v>
      </c>
    </row>
    <row r="63" ht="22.5" customHeight="1">
      <c r="A63" s="48" t="s">
        <v>106</v>
      </c>
      <c r="B63" s="4" t="s">
        <v>107</v>
      </c>
      <c r="C63" s="50">
        <v>7.0</v>
      </c>
      <c r="D63" s="51" t="s">
        <v>91</v>
      </c>
      <c r="E63" s="87">
        <v>7.0</v>
      </c>
      <c r="F63" s="88" t="s">
        <v>10</v>
      </c>
      <c r="G63" s="89" t="s">
        <v>108</v>
      </c>
    </row>
    <row r="64" ht="22.5" customHeight="1">
      <c r="A64" s="48" t="s">
        <v>109</v>
      </c>
      <c r="B64" s="4" t="s">
        <v>110</v>
      </c>
      <c r="C64" s="50">
        <v>3.02</v>
      </c>
      <c r="D64" s="51" t="s">
        <v>91</v>
      </c>
      <c r="E64" s="87">
        <v>3.02</v>
      </c>
      <c r="F64" s="88" t="s">
        <v>10</v>
      </c>
      <c r="G64" s="89" t="s">
        <v>111</v>
      </c>
    </row>
    <row r="65" ht="22.5" customHeight="1">
      <c r="A65" s="48" t="s">
        <v>112</v>
      </c>
      <c r="B65" s="4" t="s">
        <v>113</v>
      </c>
      <c r="C65" s="50">
        <v>0.55</v>
      </c>
      <c r="D65" s="51" t="s">
        <v>114</v>
      </c>
      <c r="E65" s="87">
        <v>7.8</v>
      </c>
      <c r="F65" s="88" t="s">
        <v>10</v>
      </c>
      <c r="G65" s="89" t="s">
        <v>115</v>
      </c>
    </row>
    <row r="66" ht="22.5" customHeight="1">
      <c r="A66" s="48" t="s">
        <v>116</v>
      </c>
      <c r="B66" s="4" t="s">
        <v>117</v>
      </c>
      <c r="C66" s="50">
        <v>0.52</v>
      </c>
      <c r="D66" s="51" t="s">
        <v>118</v>
      </c>
      <c r="E66" s="87">
        <v>13.75</v>
      </c>
      <c r="F66" s="88" t="s">
        <v>10</v>
      </c>
      <c r="G66" s="89" t="s">
        <v>115</v>
      </c>
    </row>
    <row r="67" ht="22.5" customHeight="1">
      <c r="A67" s="34" t="s">
        <v>119</v>
      </c>
      <c r="B67" s="4" t="s">
        <v>120</v>
      </c>
      <c r="C67" s="50">
        <v>1.0</v>
      </c>
      <c r="D67" s="51" t="s">
        <v>121</v>
      </c>
      <c r="E67" s="87">
        <v>3.0</v>
      </c>
      <c r="F67" s="88" t="s">
        <v>10</v>
      </c>
      <c r="G67" s="90"/>
    </row>
    <row r="68" ht="22.5" customHeight="1">
      <c r="A68" s="48" t="s">
        <v>122</v>
      </c>
      <c r="B68" s="4" t="s">
        <v>123</v>
      </c>
      <c r="C68" s="50">
        <v>0.0</v>
      </c>
      <c r="D68" s="51" t="s">
        <v>91</v>
      </c>
      <c r="E68" s="87"/>
      <c r="F68" s="88" t="s">
        <v>10</v>
      </c>
      <c r="G68" s="90"/>
    </row>
    <row r="69" ht="22.5" customHeight="1">
      <c r="A69" s="48" t="s">
        <v>124</v>
      </c>
      <c r="B69" s="4" t="s">
        <v>125</v>
      </c>
      <c r="C69" s="50">
        <v>5.99</v>
      </c>
      <c r="D69" s="51" t="s">
        <v>126</v>
      </c>
      <c r="E69" s="87">
        <v>5.99</v>
      </c>
      <c r="F69" s="88" t="s">
        <v>10</v>
      </c>
      <c r="G69" s="89" t="s">
        <v>43</v>
      </c>
    </row>
    <row r="70" ht="22.5" customHeight="1">
      <c r="A70" s="91" t="s">
        <v>127</v>
      </c>
      <c r="B70" s="4" t="s">
        <v>128</v>
      </c>
      <c r="C70" s="5">
        <v>4.99</v>
      </c>
      <c r="D70" s="45" t="s">
        <v>91</v>
      </c>
      <c r="E70" s="19">
        <v>4.99</v>
      </c>
      <c r="F70" s="20" t="s">
        <v>10</v>
      </c>
      <c r="G70" s="92"/>
    </row>
    <row r="71" ht="22.5" customHeight="1">
      <c r="A71" s="23" t="s">
        <v>129</v>
      </c>
      <c r="B71" s="24" t="s">
        <v>130</v>
      </c>
      <c r="C71" s="25">
        <v>13.51</v>
      </c>
      <c r="D71" s="61" t="s">
        <v>87</v>
      </c>
      <c r="E71" s="27">
        <v>13.51</v>
      </c>
      <c r="F71" s="28" t="s">
        <v>10</v>
      </c>
      <c r="G71" s="93" t="s">
        <v>131</v>
      </c>
    </row>
    <row r="72" ht="22.5" customHeight="1">
      <c r="A72" s="23" t="s">
        <v>132</v>
      </c>
      <c r="B72" s="24" t="s">
        <v>133</v>
      </c>
      <c r="C72" s="25">
        <v>12.39</v>
      </c>
      <c r="D72" s="61" t="s">
        <v>91</v>
      </c>
      <c r="E72" s="27">
        <v>12.39</v>
      </c>
      <c r="F72" s="28" t="s">
        <v>10</v>
      </c>
      <c r="G72" s="94"/>
    </row>
    <row r="73" ht="22.5" customHeight="1">
      <c r="A73" s="23" t="s">
        <v>134</v>
      </c>
      <c r="B73" s="32"/>
      <c r="C73" s="25">
        <v>10.59</v>
      </c>
      <c r="D73" s="61" t="s">
        <v>91</v>
      </c>
      <c r="E73" s="27">
        <v>10.59</v>
      </c>
      <c r="F73" s="28" t="s">
        <v>10</v>
      </c>
      <c r="G73" s="93" t="s">
        <v>135</v>
      </c>
    </row>
    <row r="74" ht="22.5" customHeight="1">
      <c r="A74" s="23" t="s">
        <v>136</v>
      </c>
      <c r="B74" s="24"/>
      <c r="C74" s="25">
        <v>9.5</v>
      </c>
      <c r="D74" s="61" t="s">
        <v>91</v>
      </c>
      <c r="E74" s="27">
        <v>9.5</v>
      </c>
      <c r="F74" s="28" t="s">
        <v>10</v>
      </c>
      <c r="G74" s="93" t="s">
        <v>137</v>
      </c>
    </row>
    <row r="75" ht="22.5" customHeight="1">
      <c r="A75" s="23" t="s">
        <v>138</v>
      </c>
      <c r="B75" s="24"/>
      <c r="C75" s="25">
        <v>9.9</v>
      </c>
      <c r="D75" s="61" t="s">
        <v>91</v>
      </c>
      <c r="E75" s="27">
        <v>9.9</v>
      </c>
      <c r="F75" s="28" t="s">
        <v>10</v>
      </c>
      <c r="G75" s="93" t="s">
        <v>139</v>
      </c>
    </row>
    <row r="76" ht="22.5" customHeight="1">
      <c r="A76" s="23" t="s">
        <v>140</v>
      </c>
      <c r="B76" s="24"/>
      <c r="C76" s="25">
        <v>10.39</v>
      </c>
      <c r="D76" s="61" t="s">
        <v>91</v>
      </c>
      <c r="E76" s="27">
        <v>10.39</v>
      </c>
      <c r="F76" s="28" t="s">
        <v>10</v>
      </c>
      <c r="G76" s="93" t="s">
        <v>141</v>
      </c>
    </row>
    <row r="77" ht="22.5" customHeight="1">
      <c r="A77" s="23" t="s">
        <v>142</v>
      </c>
      <c r="B77" s="24" t="s">
        <v>143</v>
      </c>
      <c r="C77" s="25">
        <v>6.99</v>
      </c>
      <c r="D77" s="61" t="s">
        <v>91</v>
      </c>
      <c r="E77" s="27">
        <v>6.99</v>
      </c>
      <c r="F77" s="28" t="s">
        <v>10</v>
      </c>
      <c r="G77" s="94"/>
    </row>
    <row r="78" ht="22.5" customHeight="1">
      <c r="A78" s="23" t="s">
        <v>144</v>
      </c>
      <c r="B78" s="24" t="s">
        <v>145</v>
      </c>
      <c r="C78" s="25">
        <v>8.99</v>
      </c>
      <c r="D78" s="61" t="s">
        <v>91</v>
      </c>
      <c r="E78" s="27">
        <v>8.99</v>
      </c>
      <c r="F78" s="28" t="s">
        <v>10</v>
      </c>
      <c r="G78" s="93" t="s">
        <v>146</v>
      </c>
    </row>
    <row r="79" ht="22.5" customHeight="1">
      <c r="A79" s="23" t="s">
        <v>147</v>
      </c>
      <c r="B79" s="24" t="s">
        <v>148</v>
      </c>
      <c r="C79" s="25">
        <v>8.99</v>
      </c>
      <c r="D79" s="61" t="s">
        <v>91</v>
      </c>
      <c r="E79" s="27">
        <v>8.99</v>
      </c>
      <c r="F79" s="28" t="s">
        <v>10</v>
      </c>
      <c r="G79" s="93" t="s">
        <v>149</v>
      </c>
    </row>
    <row r="80" ht="22.5" customHeight="1">
      <c r="A80" s="23" t="s">
        <v>150</v>
      </c>
      <c r="B80" s="32"/>
      <c r="C80" s="25">
        <v>2.57</v>
      </c>
      <c r="D80" s="61" t="s">
        <v>91</v>
      </c>
      <c r="E80" s="27">
        <v>2.57</v>
      </c>
      <c r="F80" s="28" t="s">
        <v>10</v>
      </c>
      <c r="G80" s="93" t="s">
        <v>151</v>
      </c>
    </row>
    <row r="81" ht="22.5" customHeight="1">
      <c r="A81" s="23" t="s">
        <v>152</v>
      </c>
      <c r="B81" s="24" t="s">
        <v>153</v>
      </c>
      <c r="C81" s="29"/>
      <c r="D81" s="95"/>
      <c r="E81" s="30"/>
      <c r="F81" s="28" t="s">
        <v>10</v>
      </c>
      <c r="G81" s="93" t="s">
        <v>154</v>
      </c>
    </row>
    <row r="82" ht="22.5" customHeight="1">
      <c r="A82" s="23" t="s">
        <v>155</v>
      </c>
      <c r="B82" s="24"/>
      <c r="C82" s="29"/>
      <c r="D82" s="95"/>
      <c r="E82" s="30"/>
      <c r="F82" s="28" t="s">
        <v>10</v>
      </c>
      <c r="G82" s="94" t="s">
        <v>34</v>
      </c>
    </row>
    <row r="83" ht="22.5" customHeight="1">
      <c r="A83" s="65" t="s">
        <v>156</v>
      </c>
      <c r="B83" s="81" t="s">
        <v>157</v>
      </c>
      <c r="C83" s="36"/>
      <c r="D83" s="57"/>
      <c r="E83" s="38"/>
      <c r="F83" s="39" t="s">
        <v>10</v>
      </c>
      <c r="G83" s="96" t="s">
        <v>34</v>
      </c>
    </row>
    <row r="86" ht="22.5" customHeight="1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</row>
    <row r="87" ht="22.5" customHeight="1">
      <c r="A87" s="3" t="s">
        <v>158</v>
      </c>
      <c r="B87" s="4"/>
      <c r="C87" s="5">
        <v>3.93</v>
      </c>
      <c r="D87" s="45" t="s">
        <v>91</v>
      </c>
      <c r="E87" s="7">
        <v>3.93</v>
      </c>
      <c r="F87" s="8" t="s">
        <v>10</v>
      </c>
      <c r="G87" s="97" t="s">
        <v>115</v>
      </c>
    </row>
    <row r="88" ht="22.5" customHeight="1">
      <c r="A88" s="10" t="s">
        <v>159</v>
      </c>
      <c r="B88" s="11"/>
      <c r="C88" s="12">
        <v>3.83</v>
      </c>
      <c r="D88" s="45" t="s">
        <v>91</v>
      </c>
      <c r="E88" s="14">
        <v>3.83</v>
      </c>
      <c r="F88" s="15" t="s">
        <v>10</v>
      </c>
      <c r="G88" s="47" t="s">
        <v>115</v>
      </c>
    </row>
    <row r="89" ht="22.5" customHeight="1">
      <c r="A89" s="16" t="s">
        <v>160</v>
      </c>
      <c r="B89" s="4"/>
      <c r="C89" s="5">
        <v>3.23</v>
      </c>
      <c r="D89" s="45" t="s">
        <v>91</v>
      </c>
      <c r="E89" s="7">
        <v>3.23</v>
      </c>
      <c r="F89" s="17" t="s">
        <v>10</v>
      </c>
      <c r="G89" s="47" t="s">
        <v>115</v>
      </c>
    </row>
    <row r="90" ht="22.5" customHeight="1">
      <c r="A90" s="10" t="s">
        <v>161</v>
      </c>
      <c r="B90" s="11"/>
      <c r="C90" s="12">
        <v>3.28</v>
      </c>
      <c r="D90" s="45" t="s">
        <v>91</v>
      </c>
      <c r="E90" s="14">
        <v>3.28</v>
      </c>
      <c r="F90" s="18" t="s">
        <v>10</v>
      </c>
      <c r="G90" s="47" t="s">
        <v>115</v>
      </c>
    </row>
    <row r="91" ht="22.5" customHeight="1">
      <c r="A91" s="48" t="s">
        <v>162</v>
      </c>
      <c r="B91" s="49"/>
      <c r="C91" s="50">
        <v>3.88</v>
      </c>
      <c r="D91" s="45" t="s">
        <v>91</v>
      </c>
      <c r="E91" s="87">
        <v>3.88</v>
      </c>
      <c r="F91" s="88" t="s">
        <v>10</v>
      </c>
      <c r="G91" s="98" t="s">
        <v>115</v>
      </c>
    </row>
    <row r="92" ht="22.5" customHeight="1">
      <c r="A92" s="16" t="s">
        <v>163</v>
      </c>
      <c r="B92" s="4"/>
      <c r="C92" s="5">
        <v>8.72</v>
      </c>
      <c r="D92" s="45" t="s">
        <v>91</v>
      </c>
      <c r="E92" s="19">
        <v>8.72</v>
      </c>
      <c r="F92" s="20" t="s">
        <v>10</v>
      </c>
      <c r="G92" s="55" t="s">
        <v>115</v>
      </c>
    </row>
    <row r="93" ht="22.5" customHeight="1">
      <c r="A93" s="65" t="s">
        <v>164</v>
      </c>
      <c r="B93" s="35"/>
      <c r="C93" s="99">
        <v>8.72</v>
      </c>
      <c r="D93" s="83" t="s">
        <v>165</v>
      </c>
      <c r="E93" s="84">
        <v>8.72</v>
      </c>
      <c r="F93" s="39" t="s">
        <v>10</v>
      </c>
      <c r="G93" s="66" t="s">
        <v>115</v>
      </c>
    </row>
    <row r="96" ht="22.5" customHeight="1">
      <c r="A96" s="2" t="s">
        <v>1</v>
      </c>
      <c r="B96" s="2" t="s">
        <v>2</v>
      </c>
      <c r="C96" s="2" t="s">
        <v>3</v>
      </c>
      <c r="D96" s="2" t="s">
        <v>4</v>
      </c>
      <c r="E96" s="2" t="s">
        <v>5</v>
      </c>
      <c r="F96" s="2" t="s">
        <v>6</v>
      </c>
      <c r="G96" s="2" t="s">
        <v>7</v>
      </c>
    </row>
    <row r="97" ht="22.5" customHeight="1">
      <c r="A97" s="3" t="s">
        <v>166</v>
      </c>
      <c r="B97" s="4" t="s">
        <v>167</v>
      </c>
      <c r="C97" s="5">
        <v>15.29</v>
      </c>
      <c r="D97" s="45" t="s">
        <v>168</v>
      </c>
      <c r="E97" s="7">
        <v>15.29</v>
      </c>
      <c r="F97" s="8" t="s">
        <v>10</v>
      </c>
      <c r="G97" s="68" t="s">
        <v>169</v>
      </c>
    </row>
    <row r="98" ht="22.5" customHeight="1">
      <c r="A98" s="23" t="s">
        <v>170</v>
      </c>
      <c r="B98" s="24" t="s">
        <v>171</v>
      </c>
      <c r="C98" s="25"/>
      <c r="D98" s="61"/>
      <c r="E98" s="62"/>
      <c r="F98" s="63" t="s">
        <v>10</v>
      </c>
      <c r="G98" s="34"/>
    </row>
    <row r="99" ht="22.5" customHeight="1">
      <c r="A99" s="23" t="s">
        <v>172</v>
      </c>
      <c r="B99" s="24"/>
      <c r="C99" s="25">
        <v>179.0</v>
      </c>
      <c r="D99" s="61" t="s">
        <v>91</v>
      </c>
      <c r="E99" s="62">
        <v>179.0</v>
      </c>
      <c r="F99" s="63" t="s">
        <v>10</v>
      </c>
      <c r="G99" s="68" t="s">
        <v>173</v>
      </c>
    </row>
    <row r="100" ht="22.5" customHeight="1">
      <c r="A100" s="23" t="s">
        <v>174</v>
      </c>
      <c r="B100" s="24"/>
      <c r="C100" s="25"/>
      <c r="D100" s="61"/>
      <c r="E100" s="62"/>
      <c r="F100" s="63" t="s">
        <v>10</v>
      </c>
      <c r="G100" s="34" t="s">
        <v>34</v>
      </c>
    </row>
    <row r="101" ht="22.5" customHeight="1">
      <c r="A101" s="23" t="s">
        <v>175</v>
      </c>
      <c r="B101" s="24"/>
      <c r="C101" s="25"/>
      <c r="D101" s="61"/>
      <c r="E101" s="62"/>
      <c r="F101" s="63" t="s">
        <v>10</v>
      </c>
      <c r="G101" s="34" t="s">
        <v>34</v>
      </c>
    </row>
    <row r="102" ht="22.5" customHeight="1">
      <c r="A102" s="34" t="s">
        <v>176</v>
      </c>
      <c r="B102" s="24"/>
      <c r="C102" s="25"/>
      <c r="D102" s="61"/>
      <c r="E102" s="62"/>
      <c r="F102" s="63" t="s">
        <v>10</v>
      </c>
      <c r="G102" s="34" t="s">
        <v>34</v>
      </c>
    </row>
    <row r="103" ht="22.5" customHeight="1">
      <c r="A103" s="10" t="s">
        <v>177</v>
      </c>
      <c r="B103" s="11" t="s">
        <v>178</v>
      </c>
      <c r="C103" s="12">
        <v>25.0</v>
      </c>
      <c r="D103" s="46" t="s">
        <v>91</v>
      </c>
      <c r="E103" s="14">
        <v>25.0</v>
      </c>
      <c r="F103" s="15" t="s">
        <v>10</v>
      </c>
      <c r="G103" s="68" t="s">
        <v>179</v>
      </c>
    </row>
    <row r="104" ht="22.5" customHeight="1">
      <c r="A104" s="16" t="s">
        <v>180</v>
      </c>
      <c r="B104" s="4" t="s">
        <v>181</v>
      </c>
      <c r="C104" s="5">
        <v>25.9</v>
      </c>
      <c r="D104" s="45" t="s">
        <v>91</v>
      </c>
      <c r="E104" s="7">
        <v>25.9</v>
      </c>
      <c r="F104" s="17" t="s">
        <v>10</v>
      </c>
      <c r="G104" s="68" t="s">
        <v>182</v>
      </c>
    </row>
    <row r="105" ht="22.5" customHeight="1">
      <c r="A105" s="10" t="s">
        <v>183</v>
      </c>
      <c r="B105" s="11" t="s">
        <v>184</v>
      </c>
      <c r="C105" s="12">
        <v>21.0</v>
      </c>
      <c r="D105" s="46" t="s">
        <v>91</v>
      </c>
      <c r="E105" s="14">
        <v>21.0</v>
      </c>
      <c r="F105" s="18" t="s">
        <v>10</v>
      </c>
      <c r="G105" s="68" t="s">
        <v>185</v>
      </c>
    </row>
    <row r="106" ht="22.5" customHeight="1">
      <c r="A106" s="48" t="s">
        <v>186</v>
      </c>
      <c r="B106" s="49" t="s">
        <v>187</v>
      </c>
      <c r="C106" s="50">
        <v>21.24</v>
      </c>
      <c r="D106" s="51" t="s">
        <v>91</v>
      </c>
      <c r="E106" s="87">
        <v>21.24</v>
      </c>
      <c r="F106" s="88" t="s">
        <v>10</v>
      </c>
      <c r="G106" s="68" t="s">
        <v>188</v>
      </c>
    </row>
    <row r="107" ht="22.5" customHeight="1">
      <c r="A107" s="48" t="s">
        <v>189</v>
      </c>
      <c r="B107" s="49"/>
      <c r="C107" s="50">
        <v>21.99</v>
      </c>
      <c r="D107" s="51" t="s">
        <v>91</v>
      </c>
      <c r="E107" s="87">
        <v>21.99</v>
      </c>
      <c r="F107" s="88" t="s">
        <v>10</v>
      </c>
      <c r="G107" s="68" t="s">
        <v>190</v>
      </c>
    </row>
    <row r="108" ht="22.5" customHeight="1">
      <c r="A108" s="48" t="s">
        <v>191</v>
      </c>
      <c r="B108" s="49" t="s">
        <v>192</v>
      </c>
      <c r="C108" s="50">
        <v>9.59</v>
      </c>
      <c r="D108" s="51" t="s">
        <v>91</v>
      </c>
      <c r="E108" s="87">
        <v>9.59</v>
      </c>
      <c r="F108" s="88" t="s">
        <v>10</v>
      </c>
      <c r="G108" s="68" t="s">
        <v>193</v>
      </c>
    </row>
    <row r="109" ht="22.5" customHeight="1">
      <c r="A109" s="48" t="s">
        <v>194</v>
      </c>
      <c r="B109" s="49"/>
      <c r="C109" s="50">
        <v>17.9</v>
      </c>
      <c r="D109" s="51" t="s">
        <v>91</v>
      </c>
      <c r="E109" s="87">
        <v>17.9</v>
      </c>
      <c r="F109" s="88" t="s">
        <v>10</v>
      </c>
      <c r="G109" s="89" t="s">
        <v>195</v>
      </c>
    </row>
    <row r="110" ht="22.5" customHeight="1">
      <c r="A110" s="16" t="s">
        <v>196</v>
      </c>
      <c r="B110" s="4"/>
      <c r="C110" s="5">
        <v>5.99</v>
      </c>
      <c r="D110" s="45" t="s">
        <v>91</v>
      </c>
      <c r="E110" s="19">
        <v>5.99</v>
      </c>
      <c r="F110" s="20" t="s">
        <v>10</v>
      </c>
      <c r="G110" s="92"/>
    </row>
    <row r="111" ht="22.5" customHeight="1">
      <c r="A111" s="65" t="s">
        <v>197</v>
      </c>
      <c r="B111" s="35"/>
      <c r="C111" s="82">
        <v>23.5</v>
      </c>
      <c r="D111" s="83" t="s">
        <v>91</v>
      </c>
      <c r="E111" s="84">
        <v>23.5</v>
      </c>
      <c r="F111" s="39" t="s">
        <v>10</v>
      </c>
      <c r="G111" s="66" t="s">
        <v>198</v>
      </c>
    </row>
  </sheetData>
  <dataValidations>
    <dataValidation type="custom" allowBlank="1" showDropDown="1" sqref="C5:C24 E5:E24 C30:C36 E30:E36 C40:C42 E40:E42 C46:C53 E46:E53 C57:C83 E57:E83 C87:C93 E87:E93 C97:C111 E97:E111">
      <formula1>AND(ISNUMBER(C5),(NOT(OR(NOT(ISERROR(DATEVALUE(C5))), AND(ISNUMBER(C5), LEFT(CELL("format", C5))="D")))))</formula1>
    </dataValidation>
    <dataValidation type="list" allowBlank="1" sqref="F5:F24 F30:F36 F40:F42 F46:F53 F57:F83 F87:F93 F97:F111">
      <formula1>"Geliefert,Bestellt,Nicht bestellt"</formula1>
    </dataValidation>
    <dataValidation allowBlank="1" showDropDown="1" sqref="A5:B24 G5:G24 A30:B36 G30:G36 A40:B42 G40:G42 A46:B53 G46:G53 A57:B83 G57:G83 A87:B93 G87:G93 A97:B111 G97:G111"/>
    <dataValidation allowBlank="1" showDropDown="1" sqref="D30:D36 D40:D42 D46:D53 D57:D83 D87:D93 D97:D111"/>
  </dataValidations>
  <hyperlinks>
    <hyperlink r:id="rId1" ref="G31"/>
    <hyperlink r:id="rId2" ref="G33"/>
    <hyperlink r:id="rId3" ref="G34"/>
    <hyperlink r:id="rId4" ref="G35"/>
    <hyperlink r:id="rId5" ref="G42"/>
    <hyperlink r:id="rId6" ref="G46"/>
    <hyperlink r:id="rId7" ref="G47"/>
    <hyperlink r:id="rId8" location="productDownloads" ref="G48"/>
    <hyperlink r:id="rId9" ref="G49"/>
    <hyperlink r:id="rId10" ref="G50"/>
    <hyperlink r:id="rId11" ref="G51"/>
    <hyperlink r:id="rId12" ref="G53"/>
    <hyperlink r:id="rId13" ref="G57"/>
    <hyperlink r:id="rId14" ref="G59"/>
    <hyperlink r:id="rId15" ref="G60"/>
    <hyperlink r:id="rId16" ref="G62"/>
    <hyperlink r:id="rId17" ref="G63"/>
    <hyperlink r:id="rId18" ref="G64"/>
    <hyperlink r:id="rId19" ref="G65"/>
    <hyperlink r:id="rId20" ref="G66"/>
    <hyperlink r:id="rId21" ref="G69"/>
    <hyperlink r:id="rId22" ref="G71"/>
    <hyperlink r:id="rId23" ref="G73"/>
    <hyperlink r:id="rId24" ref="G74"/>
    <hyperlink r:id="rId25" ref="G75"/>
    <hyperlink r:id="rId26" ref="G76"/>
    <hyperlink r:id="rId27" ref="G78"/>
    <hyperlink r:id="rId28" ref="G79"/>
    <hyperlink r:id="rId29" ref="G80"/>
    <hyperlink r:id="rId30" ref="G81"/>
    <hyperlink r:id="rId31" ref="G87"/>
    <hyperlink r:id="rId32" ref="G88"/>
    <hyperlink r:id="rId33" ref="G89"/>
    <hyperlink r:id="rId34" ref="G90"/>
    <hyperlink r:id="rId35" ref="G91"/>
    <hyperlink r:id="rId36" ref="G92"/>
    <hyperlink r:id="rId37" ref="G93"/>
    <hyperlink r:id="rId38" ref="G97"/>
    <hyperlink r:id="rId39" ref="G99"/>
    <hyperlink r:id="rId40" ref="G103"/>
    <hyperlink r:id="rId41" ref="G104"/>
    <hyperlink r:id="rId42" ref="G105"/>
    <hyperlink r:id="rId43" ref="G106"/>
    <hyperlink r:id="rId44" ref="G107"/>
    <hyperlink r:id="rId45" ref="G108"/>
    <hyperlink r:id="rId46" ref="G109"/>
    <hyperlink r:id="rId47" ref="G111"/>
  </hyperlinks>
  <drawing r:id="rId48"/>
  <tableParts count="7">
    <tablePart r:id="rId56"/>
    <tablePart r:id="rId57"/>
    <tablePart r:id="rId58"/>
    <tablePart r:id="rId59"/>
    <tablePart r:id="rId60"/>
    <tablePart r:id="rId61"/>
    <tablePart r:id="rId62"/>
  </tableParts>
</worksheet>
</file>